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6.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7.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8.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9.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10.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1.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2.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13.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14.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15.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16.xml" ContentType="application/vnd.openxmlformats-officedocument.spreadsheetml.comments+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01" sheetId="2" state="visible" r:id="rId2"/>
    <sheet name="ValueAssistance" sheetId="3" state="visible" r:id="rId3"/>
    <sheet name="02" sheetId="4" state="visible" r:id="rId4"/>
    <sheet name="03" sheetId="5" state="visible" r:id="rId5"/>
    <sheet name="04" sheetId="6" state="visible" r:id="rId6"/>
    <sheet name="05" sheetId="7" state="visible" r:id="rId7"/>
    <sheet name="06" sheetId="8" state="visible" r:id="rId8"/>
    <sheet name="07" sheetId="9" state="visible" r:id="rId9"/>
    <sheet name="08" sheetId="10" state="visible" r:id="rId10"/>
    <sheet name="09" sheetId="11" state="visible" r:id="rId11"/>
    <sheet name="10" sheetId="12" state="visible" r:id="rId12"/>
    <sheet name="11" sheetId="13" state="visible" r:id="rId13"/>
    <sheet name="12" sheetId="14" state="visible" r:id="rId14"/>
    <sheet name="13" sheetId="15" state="visible" r:id="rId15"/>
    <sheet name="14" sheetId="16" state="visible" r:id="rId16"/>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0" fillId="0" borderId="0" applyAlignment="1" pivotButton="0" quotePrefix="0" xfId="0">
      <alignment vertical="top"/>
    </xf>
    <xf numFmtId="0" fontId="2" fillId="0" borderId="0" pivotButton="0" quotePrefix="0" xfId="1"/>
    <xf numFmtId="0" fontId="0" fillId="0" borderId="0" applyAlignment="1" pivotButton="0" quotePrefix="0" xfId="0">
      <alignment vertical="top" wrapText="1"/>
    </xf>
    <xf numFmtId="0" fontId="1" fillId="0" borderId="0" pivotButton="0" quotePrefix="0" xfId="0"/>
    <xf numFmtId="164"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Share Dinkum</author>
  </authors>
  <commentList>
    <comment ref="A1" authorId="0" shapeId="0">
      <text>
        <t>Number of the sheet that holds the table. Click the link to go to it.</t>
      </text>
    </comment>
    <comment ref="B1" authorId="0" shapeId="0">
      <text>
        <t>Name of the Excel table, which is also the name of the model it loads into.</t>
      </text>
    </comment>
    <comment ref="C1" authorId="0" shapeId="0">
      <text>
        <t>What the table holds.</t>
      </text>
    </comment>
    <comment ref="D1" authorId="0" shapeId="0">
      <text>
        <t>Rows in the table when the file was written. An empty template table counts its one blank row.</t>
      </text>
    </comment>
    <comment ref="E1" authorId="0" shapeId="0">
      <text>
        <t>Click to go to the sheet.</t>
      </text>
    </comment>
  </commentList>
</comments>
</file>

<file path=xl/comments/comment2.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Short code of the market, such as ASX or NASDAQ.
Required.</t>
      </text>
    </comment>
    <comment ref="D1" authorId="0" shapeId="0">
      <text>
        <t>Suffix the price provider adds to this market's tickers, such as .AX. Blank if none.
Optional.</t>
      </text>
    </comment>
    <comment ref="E1" authorId="0" shapeId="0">
      <text>
        <t>ISO country code, e.g. AU. Decides whether instruments here are treated as Australian listed for capital gains reporting.
Optional.</t>
      </text>
    </comment>
    <comment ref="F1" authorId="0" shapeId="0">
      <text>
        <t>Uncheck for unlisted holdings. Unlisted assets fall into the "other" categories on the CGT schedule regardless of country.
TRUE or FALSE.
Optional. Blank = True.</t>
      </text>
    </comment>
    <comment ref="G1" authorId="0" shapeId="0">
      <text>
        <t>Free text notes about the record.
Optional.</t>
      </text>
    </comment>
  </commentList>
</comments>
</file>

<file path=xl/comments/comment3.xml><?xml version="1.0" encoding="utf-8"?>
<comments xmlns="http://schemas.openxmlformats.org/spreadsheetml/2006/main">
  <authors>
    <author>Share Dinkum</author>
  </authors>
  <commentList>
    <comment ref="A1" authorId="0" shapeId="0">
      <text>
        <t>The values the dropdowns for yes/no offer. Edit the dropdown, not this list.</t>
      </text>
    </comment>
    <comment ref="B1" authorId="0" shapeId="0">
      <text>
        <t>The values the dropdowns for currency offer. Edit the dropdown, not this list.</t>
      </text>
    </comment>
    <comment ref="C1" authorId="0" shapeId="0">
      <text>
        <t>The values the dropdowns for Instrument.legal_form offer. Edit the dropdown, not this list.</t>
      </text>
    </comment>
    <comment ref="D1" authorId="0" shapeId="0">
      <text>
        <t>The values the dropdowns for Instrument.cgt_asset_category_override offer. Edit the dropdown, not this list.</t>
      </text>
    </comment>
    <comment ref="E1" authorId="0" shapeId="0">
      <text>
        <t>The values the dropdowns for Sell.strategy offer. Edit the dropdown, not this list.</t>
      </text>
    </comment>
    <comment ref="F1" authorId="0" shapeId="0">
      <text>
        <t>The values the dropdowns for CostBaseAdjustment.allocation_method offer. Edit the dropdown, not this list.</t>
      </text>
    </comment>
    <comment ref="G1" authorId="0" shapeId="0">
      <text>
        <t>The values the dropdowns for Dividend.dividend_type offer. Edit the dropdown, not this list.</t>
      </text>
    </comment>
    <comment ref="H1" authorId="0" shapeId="0">
      <text>
        <t>The values the dropdowns for ResidencyPeriod.status offer. Edit the dropdown, not this list.</t>
      </text>
    </comment>
    <comment ref="I1" authorId="0" shapeId="0">
      <text>
        <t>The values the dropdowns for InstrumentValuation.purpose offer. Edit the dropdown, not this list.</t>
      </text>
    </comment>
    <comment ref="J1" authorId="0" shapeId="0">
      <text>
        <t>The values the dropdowns for InstrumentValuation.source offer. Edit the dropdown, not this list.</t>
      </text>
    </comment>
    <comment ref="K1" authorId="0" shapeId="0">
      <text>
        <t>The values the dropdowns for AttributionComponent.component offer. Edit the dropdown, not this list.</t>
      </text>
    </comment>
  </commentList>
</comments>
</file>

<file path=xl/comments/comment4.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Ticker code without the market suffix, such as BHP or VGS. Unique within a portfolio.
Required.</t>
      </text>
    </comment>
    <comment ref="C1" authorId="0" shapeId="0">
      <text>
        <t>Full name of the security.
Optional.</t>
      </text>
    </comment>
    <comment ref="D1" authorId="0" shapeId="0">
      <text>
        <t>Currency the instrument trades in, such as AUD or USD.
Optional. Blank = AUD.</t>
      </text>
    </comment>
    <comment ref="E1" authorId="0" shapeId="0">
      <text>
        <t>The market the instrument is listed on. Enter its code as listed in the Market table.
Required.</t>
      </text>
    </comment>
    <comment ref="F1" authorId="0" shapeId="0">
      <text>
        <t>Shown on the product disclosure statement or annual tax statement.
One of: UNKNOWN (Not yet classified); COMPANY (Company - ordinary or preference shares, including listed investment companies); UNIT_TRUST (Unit trust - most ETFs, managed funds and property trusts); STAPLED (Stapled security - a share and a unit traded together); RIGHT_OPTION (Right, option or entitlement); DEBT (Note, bond or other debt interest); REAL_PROPERTY (Direct interest in real property); COLLECTABLE (Collectable); OTHER (Other CGT asset).
Optional. Blank = UNKNOWN.</t>
      </text>
    </comment>
    <comment ref="G1" authorId="0" shapeId="0">
      <text>
        <t>Leave empty. Only set this if the category worked out from the legal form and the market is wrong for this holding.
One of: AU_LISTED_SHARES (Shares in Australian listed companies); OTHER_SHARES (Other shares); AU_LISTED_UNITS (Units in Australian listed unit trusts); OTHER_UNITS (Other units); AU_REAL_ESTATE (Australian real estate); OVERSEAS_REAL_ESTATE (Overseas real estate); COLLECTABLES (Collectables); OTHER_ASSETS (Other assets).
Optional.</t>
      </text>
    </comment>
    <comment ref="H1" authorId="0" shapeId="0">
      <text>
        <t>Leave empty. Only set this if the instrument is taxable Australian property in its own right -- real property, or a non-portfolio interest in a land rich entity. Setting it to "no" is not the same as leaving it empty: it overrides the departure deeming for every parcel, including ones you held when you ceased Australian residency.
TRUE or FALSE.
Optional.</t>
      </text>
    </comment>
    <comment ref="I1" authorId="0" shapeId="0">
      <text>
        <t>Free text notes about the record.
Optional.</t>
      </text>
    </comment>
  </commentList>
</comments>
</file>

<file path=xl/comments/comment5.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The instrument traded. Enter its name as listed in the Instrument table.
Required.</t>
      </text>
    </comment>
    <comment ref="C1" authorId="0" shapeId="0">
      <text>
        <t>Date of the trade.
A date, such as 2024-07-01.
Required.</t>
      </text>
    </comment>
    <comment ref="D1" authorId="0" shapeId="0">
      <text>
        <t>Number of units traded. Must be positive.
Required.</t>
      </text>
    </comment>
    <comment ref="E1" authorId="0" shapeId="0">
      <text>
        <t>Price per unit, in the currency named beside it.
Required.</t>
      </text>
    </comment>
    <comment ref="F1" authorId="0" shapeId="0">
      <text>
        <t>Currency of unit_price, as a code such as AUD or USD.
Optional. Blank = the instrument's currency.</t>
      </text>
    </comment>
    <comment ref="G1" authorId="0" shapeId="0">
      <text>
        <t>Brokerage and fees for the whole trade, not per unit.
Required.</t>
      </text>
    </comment>
    <comment ref="H1" authorId="0" shapeId="0">
      <text>
        <t>Currency of total_brokerage, as a code such as AUD or USD.
Optional. Blank = the instrument's currency.</t>
      </text>
    </comment>
    <comment ref="I1" authorId="0" shapeId="0">
      <text>
        <t>Path to a supporting document, such as a contract note. The file is copied into the app; a path that does not exist is ignored.
Optional.</t>
      </text>
    </comment>
    <comment ref="J1" authorId="0" shapeId="0">
      <text>
        <t>Free text notes about the record.
Optional.</t>
      </text>
    </comment>
  </commentList>
</comments>
</file>

<file path=xl/comments/comment6.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The instrument traded. Enter its name as listed in the Instrument table.
Required.</t>
      </text>
    </comment>
    <comment ref="C1" authorId="0" shapeId="0">
      <text>
        <t>Date of the trade.
A date, such as 2024-07-01.
Required.</t>
      </text>
    </comment>
    <comment ref="D1" authorId="0" shapeId="0">
      <text>
        <t>Number of units traded. Must be positive.
Required.</t>
      </text>
    </comment>
    <comment ref="E1" authorId="0" shapeId="0">
      <text>
        <t>Price per unit, in the currency named beside it.
Required.</t>
      </text>
    </comment>
    <comment ref="F1" authorId="0" shapeId="0">
      <text>
        <t>Currency of unit_price, as a code such as AUD or USD.
Optional. Blank = the instrument's currency.</t>
      </text>
    </comment>
    <comment ref="G1" authorId="0" shapeId="0">
      <text>
        <t>Brokerage and fees for the whole trade, not per unit.
Required.</t>
      </text>
    </comment>
    <comment ref="H1" authorId="0" shapeId="0">
      <text>
        <t>Currency of total_brokerage, as a code such as AUD or USD.
Optional. Blank = the instrument's currency.</t>
      </text>
    </comment>
    <comment ref="I1" authorId="0" shapeId="0">
      <text>
        <t>Path to a supporting document, such as a contract note. The file is copied into the app; a path that does not exist is ignored.
Optional.</t>
      </text>
    </comment>
    <comment ref="J1" authorId="0" shapeId="0">
      <text>
        <t>How the sale picks the parcels it consumes. MANUAL means you give the allocations yourself.
One of: FIFO (First-in, First-out); LIFO (Last-in, First out); MIN_CGT (Minimise net capital gain); MANUAL (Manually create allocations).
Optional. Blank = MIN_CGT.</t>
      </text>
    </comment>
    <comment ref="K1" authorId="0" shapeId="0">
      <text>
        <t>Free text notes about the record.
Optional.</t>
      </text>
    </comment>
  </commentList>
</comments>
</file>

<file path=xl/comments/comment7.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Units taken from the parcel by the sale.
Required.</t>
      </text>
    </comment>
    <comment ref="C1" authorId="0" shapeId="0">
      <text>
        <t>The legacy_id of the Sell row this allocation belongs to.</t>
      </text>
    </comment>
    <comment ref="D1" authorId="0" shapeId="0">
      <text>
        <t>The legacy_id of the Buy row whose parcel the units are taken from. The buy must have one parcel with units left.</t>
      </text>
    </comment>
    <comment ref="E1" authorId="0" shapeId="0">
      <text>
        <t>Free text notes about the record.
Optional.</t>
      </text>
    </comment>
  </commentList>
</comments>
</file>

<file path=xl/comments/comment8.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The instrument that split. Enter its name as listed in the Instrument table.
Required.</t>
      </text>
    </comment>
    <comment ref="D1" authorId="0" shapeId="0">
      <text>
        <t>Units before the split, in the ratio. For a 1-for-4 split, 1.
Required.</t>
      </text>
    </comment>
    <comment ref="E1" authorId="0" shapeId="0">
      <text>
        <t>Units after the split, in the ratio. For a 1-for-4 split, 4.
Required.</t>
      </text>
    </comment>
    <comment ref="F1" authorId="0" shapeId="0">
      <text>
        <t>The ex-date. Trades on it are already in post-split units, so only parcels bought before it are split.
A date, such as 2024-07-01.
Required.</t>
      </text>
    </comment>
    <comment ref="G1" authorId="0" shapeId="0">
      <text>
        <t>Path to a supporting document. The file is copied into the app.
Optional.</t>
      </text>
    </comment>
    <comment ref="H1" authorId="0" shapeId="0">
      <text>
        <t>Free text notes about the record.
Optional.</t>
      </text>
    </comment>
  </commentList>
</comments>
</file>

<file path=xl/comments/comment9.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Change to the total cost base for the year, from the annual tax statement. Negative for a decrease.
Required.</t>
      </text>
    </comment>
    <comment ref="D1" authorId="0" shapeId="0">
      <text>
        <t>Currency of cost_base_increase, as a code such as AUD or USD.
Optional. Blank = the instrument's currency.</t>
      </text>
    </comment>
    <comment ref="E1" authorId="0" shapeId="0">
      <text>
        <t>The instrument adjusted. Enter its name as listed in the Instrument table.
Required.</t>
      </text>
    </comment>
    <comment ref="F1" authorId="0" shapeId="0">
      <text>
        <t>The last day of the financial year the statement covers.
A date, such as 2024-07-01.
Required.</t>
      </text>
    </comment>
    <comment ref="G1" authorId="0" shapeId="0">
      <text>
        <t>Path to the annual tax statement. The file is copied into the app.
Optional.</t>
      </text>
    </comment>
    <comment ref="H1" authorId="0" shapeId="0">
      <text>
        <t>How the adjustment is spread across parcels. QTY_HELD weights by units and days held.
One of: QTY_HELD (Allocate to parcels, weighting by (qty * days_held) in the F.Y.); MANUAL (Manually create allocations).
Optional. Blank = QTY_HELD.</t>
      </text>
    </comment>
    <comment ref="I1" authorId="0" shapeId="0">
      <text>
        <t>Free text notes about the record.
Optional.</t>
      </text>
    </comment>
  </commentList>
</comments>
</file>

<file path=xl/comments/comment10.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The instrument that paid. Enter its name as listed in the Instrument table.
Required.</t>
      </text>
    </comment>
    <comment ref="C1" authorId="0" shapeId="0">
      <text>
        <t>Date the payment was received.
A date, such as 2024-07-01.
Required.</t>
      </text>
    </comment>
    <comment ref="D1" authorId="0" shapeId="0">
      <text>
        <t>Units you were paid on. Normally the units held the day before the ex-date.
Required.</t>
      </text>
    </comment>
    <comment ref="E1" authorId="0" shapeId="0">
      <text>
        <t>Path to the payment advice or statement. The file is copied into the app.
Optional.</t>
      </text>
    </comment>
    <comment ref="F1" authorId="0" shapeId="0">
      <text>
        <t>LOCAL for an Australian company, FOREIGN for an overseas one.
One of: LOCAL (Local dividend); FOREIGN (Foreign dividend).
Optional. Blank = LOCAL.</t>
      </text>
    </comment>
    <comment ref="G1" authorId="0" shapeId="0">
      <text>
        <t>Unfranked part of the dividend, per share.
Optional. Blank = A$0.00.</t>
      </text>
    </comment>
    <comment ref="H1" authorId="0" shapeId="0">
      <text>
        <t>Currency of unfranked_amount_per_share, as a code such as AUD or USD.
Optional. Blank = the instrument's currency.</t>
      </text>
    </comment>
    <comment ref="I1" authorId="0" shapeId="0">
      <text>
        <t>Franked part of the dividend, per share. Franking credits are worked out from it.
Optional. Blank = A$0.00.</t>
      </text>
    </comment>
    <comment ref="J1" authorId="0" shapeId="0">
      <text>
        <t>Currency of franked_amount_per_share, as a code such as AUD or USD.
Optional. Blank = the instrument's currency.</t>
      </text>
    </comment>
    <comment ref="K1" authorId="0" shapeId="0">
      <text>
        <t>Tax withheld in the country of the payer, for the whole payment.
Optional. Blank = A$0.00.</t>
      </text>
    </comment>
    <comment ref="L1" authorId="0" shapeId="0">
      <text>
        <t>Currency of local_withholding_tax, as a code such as AUD or USD.
Optional. Blank = the instrument's currency.</t>
      </text>
    </comment>
    <comment ref="M1" authorId="0" shapeId="0">
      <text>
        <t>Foreign tax paid that can be claimed as a credit, for the whole payment.
Optional. Blank = A$0.00.</t>
      </text>
    </comment>
    <comment ref="N1" authorId="0" shapeId="0">
      <text>
        <t>Currency of foreign_tax_credit, as a code such as AUD or USD.
Optional. Blank = the instrument's currency.</t>
      </text>
    </comment>
    <comment ref="O1" authorId="0" shapeId="0">
      <text>
        <t>Capital gain component of a listed investment company dividend, for the whole payment.
Optional. Blank = A$0.00.</t>
      </text>
    </comment>
    <comment ref="P1" authorId="0" shapeId="0">
      <text>
        <t>Currency of lic_capital_gain, as a code such as AUD or USD.
Optional. Blank = the instrument's currency.</t>
      </text>
    </comment>
    <comment ref="Q1" authorId="0" shapeId="0">
      <text>
        <t>Enter a percentage value (e.g., 25.00 for 25%)
Optional. Blank = 30.0.</t>
      </text>
    </comment>
    <comment ref="R1" authorId="0" shapeId="0">
      <text>
        <t>Free text notes about the record.
Optional.</t>
      </text>
    </comment>
  </commentList>
</comments>
</file>

<file path=xl/comments/comment11.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The instrument that paid. Enter its name as listed in the Instrument table.
Required.</t>
      </text>
    </comment>
    <comment ref="C1" authorId="0" shapeId="0">
      <text>
        <t>Date the payment was received.
A date, such as 2024-07-01.
Required.</t>
      </text>
    </comment>
    <comment ref="D1" authorId="0" shapeId="0">
      <text>
        <t>Units you were paid on. Normally the units held the day before the ex-date.
Required.</t>
      </text>
    </comment>
    <comment ref="E1" authorId="0" shapeId="0">
      <text>
        <t>Path to the payment advice or statement. The file is copied into the app.
Optional.</t>
      </text>
    </comment>
    <comment ref="F1" authorId="0" shapeId="0">
      <text>
        <t>Cash distribution per unit, in the currency named beside it.
Optional. Blank = A$0.00.</t>
      </text>
    </comment>
    <comment ref="G1" authorId="0" shapeId="0">
      <text>
        <t>Currency of distribution_amount_per_share, as a code such as AUD or USD.
Optional. Blank = the instrument's currency.</t>
      </text>
    </comment>
    <comment ref="H1" authorId="0" shapeId="0">
      <text>
        <t>Tax withheld from the payment, for the whole payment.
Optional. Blank = A$0.00.</t>
      </text>
    </comment>
    <comment ref="I1" authorId="0" shapeId="0">
      <text>
        <t>Currency of total_withholding_tax, as a code such as AUD or USD.
Optional. Blank = the instrument's currency.</t>
      </text>
    </comment>
    <comment ref="J1" authorId="0" shapeId="0">
      <text>
        <t>Free text notes about the record.
Optional.</t>
      </text>
    </comment>
  </commentList>
</comments>
</file>

<file path=xl/comments/comment12.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Tax residency status for the period.
One of: RESIDENT (Australian resident); FOREIGN (Foreign resident); TEMPORARY (Temporary resident).
Required.</t>
      </text>
    </comment>
    <comment ref="D1" authorId="0" shapeId="0">
      <text>
        <t>First day of this period.
A date, such as 2024-07-01.
Required.</t>
      </text>
    </comment>
    <comment ref="E1" authorId="0" shapeId="0">
      <text>
        <t>Last day of this period. Leave blank if ongoing.
A date, such as 2024-07-01.
Optional.</t>
      </text>
    </comment>
    <comment ref="F1" authorId="0" shapeId="0">
      <text>
        <t>Where this period begins a departure from Australia: did you choose under s104-165(2) to disregard the deemed disposal on ceasing residency? If so, the assets you held then stay within the Australian CGT net until you sell them.
TRUE or FALSE.
Optional.</t>
      </text>
    </comment>
    <comment ref="G1" authorId="0" shapeId="0">
      <text>
        <t>Free text notes about the record.
Optional.</t>
      </text>
    </comment>
  </commentList>
</comments>
</file>

<file path=xl/comments/comment13.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The instrument valued. Enter its name as listed in the Instrument table.
Required.</t>
      </text>
    </comment>
    <comment ref="D1" authorId="0" shapeId="0">
      <text>
        <t>The day the value applies to.
A date, such as 2024-07-01.
Required.</t>
      </text>
    </comment>
    <comment ref="E1" authorId="0" shapeId="0">
      <text>
        <t>Value of one unit on that day, in the currency named beside it.
Required.</t>
      </text>
    </comment>
    <comment ref="F1" authorId="0" shapeId="0">
      <text>
        <t>Currency of unit_value, as a code such as AUD or USD.
Optional. Blank = the instrument's currency.</t>
      </text>
    </comment>
    <comment ref="G1" authorId="0" shapeId="0">
      <text>
        <t>Which deemed disposal the valuation is for.
One of: CUTOVER_2027 (Deemed sale on 1 July 2027 (s112-155)); DEPARTURE (Ceasing Australian residency (s104-165)); ARRIVAL (Becoming an Australian resident (s855-45)); PRE_CGT (Pre-CGT asset, deemed sale (s112-175)); OTHER (Other).
Optional. Blank = CUTOVER_2027.</t>
      </text>
    </comment>
    <comment ref="H1" authorId="0" shapeId="0">
      <text>
        <t>Where the figure came from, so a disputed cost base can be traced.
One of: USER (Entered by the user); PRICE_HISTORY (Closing price held by this application); MARKET_DATA (Retrieved from a market data provider); APPORTIONED (Apportioned under the s112-185 method).
Optional. Blank = USER.</t>
      </text>
    </comment>
    <comment ref="I1" authorId="0" shapeId="0">
      <text>
        <t>Free text notes about the record.
Optional.</t>
      </text>
    </comment>
  </commentList>
</comments>
</file>

<file path=xl/comments/comment14.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Any date in the financial year the loss was made in, usually its last day. Not the year it is used in.</t>
      </text>
    </comment>
    <comment ref="D1" authorId="0" shapeId="0">
      <text>
        <t>A positive number. This is a loss; its sign is implied.
Required.</t>
      </text>
    </comment>
    <comment ref="E1" authorId="0" shapeId="0">
      <text>
        <t>Currency of amount, as a code such as AUD or USD.
Optional. Blank = AUD.</t>
      </text>
    </comment>
    <comment ref="F1" authorId="0" shapeId="0">
      <text>
        <t>Tick where this came from a return lodged before you started using this application, rather than from transactions it holds.
TRUE or FALSE.
Optional. Blank = False.</t>
      </text>
    </comment>
    <comment ref="G1" authorId="0" shapeId="0">
      <text>
        <t>Free text notes about the record.
Optional.</t>
      </text>
    </comment>
  </commentList>
</comments>
</file>

<file path=xl/comments/comment15.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The fund the statement is from. Enter its name as listed in the Instrument table.
Required.</t>
      </text>
    </comment>
    <comment ref="D1" authorId="0" shapeId="0">
      <text>
        <t>The last day of the financial year the statement covers.
A date, such as 2024-07-01.
Required.</t>
      </text>
    </comment>
    <comment ref="E1" authorId="0" shapeId="0">
      <text>
        <t>Path to the annual statement. The file is copied into the app.
Optional.</t>
      </text>
    </comment>
    <comment ref="F1" authorId="0" shapeId="0">
      <text>
        <t>Tick only if you were a foreign resident when paid and the fund withheld managed investment trust (MIT) withholding tax on the taxable Australian property part of its capital gain. That tax is final, so the gain is left out of the capital gains schedule (s840-815). Leave unticked otherwise: a resident, or a fund that did not withhold, still reports the gain.
TRUE or FALSE.
Optional. Blank = False.</t>
      </text>
    </comment>
    <comment ref="G1" authorId="0" shapeId="0">
      <text>
        <t>The legacy_id of the CostBaseAdjustment entered from this same statement. Optional; used to check the two agree.</t>
      </text>
    </comment>
    <comment ref="H1" authorId="0" shapeId="0">
      <text>
        <t>Free text notes about the record.
Optional.</t>
      </text>
    </comment>
  </commentList>
</comments>
</file>

<file path=xl/comments/comment16.xml><?xml version="1.0" encoding="utf-8"?>
<comments xmlns="http://schemas.openxmlformats.org/spreadsheetml/2006/main">
  <authors>
    <author>Share Dinkum</author>
  </authors>
  <commentList>
    <comment ref="A1" authorId="0" shapeId="0">
      <text>
        <t>Your own reference for this row, such as B001. Rows in other tables refer to it, and loading the file again matches on it, so keep it unique within the table.
Optional.</t>
      </text>
    </comment>
    <comment ref="B1" authorId="0" shapeId="0">
      <text>
        <t>Short description of the record.
Optional.</t>
      </text>
    </comment>
    <comment ref="C1" authorId="0" shapeId="0">
      <text>
        <t>Which line of the statement this is.
One of: DISCOUNTED_TAP (Discounted capital gains - taxable Australian property); DISCOUNTED_NTAP (Discounted capital gains - non-taxable Australian property); OTHER_TAP (Other method capital gains - taxable Australian property); OTHER_NTAP (Other method capital gains - non-taxable Australian property); FOREIGN_CG_DISCOUNTED (Taxable foreign capital gains - discounted method); FOREIGN_CG_OTHER (Taxable foreign capital gains - other method); AMIT_GROSS_UP (AMIT CGT gross up amount); NET_CAPITAL_GAIN (Net capital gain); TOTAL_CY_CG (Total current year capital gains); OTHER_CG_DISTRIBUTION (Other capital gains distribution); COSTBASE_INCREASE (AMIT cost base net amount - shortfall (increase cost base)); COSTBASE_DECREASE (AMIT cost base net amount - excess (reduce cost base)); and 15 more.
Required.</t>
      </text>
    </comment>
    <comment ref="D1" authorId="0" shapeId="0">
      <text>
        <t>The amount shown on that line of the statement.
Required.</t>
      </text>
    </comment>
    <comment ref="E1" authorId="0" shapeId="0">
      <text>
        <t>Currency of amount, as a code such as AUD or USD.
Optional. Blank = AUD.</t>
      </text>
    </comment>
    <comment ref="F1" authorId="0" shapeId="0">
      <text>
        <t>The legacy_id of the AttributionStatement row this line is from.</t>
      </text>
    </comment>
    <comment ref="G1" authorId="0" shapeId="0">
      <text>
        <t>Free text notes about the record.
Optional.</t>
      </text>
    </comment>
  </commentList>
</comments>
</file>

<file path=xl/tables/table1.xml><?xml version="1.0" encoding="utf-8"?>
<table xmlns="http://schemas.openxmlformats.org/spreadsheetml/2006/main" id="1" name="table_info" displayName="table_info" ref="A1:E15" headerRowCount="1">
  <autoFilter ref="A1:E15"/>
  <tableColumns count="5">
    <tableColumn id="1" name="sheet_name"/>
    <tableColumn id="2" name="table_name"/>
    <tableColumn id="3" name="description"/>
    <tableColumn id="4" name="num_records"/>
    <tableColumn id="5" name="link"/>
  </tableColumns>
  <tableStyleInfo name="TableStyleMedium9" showFirstColumn="0" showLastColumn="0" showRowStripes="1" showColumnStripes="0"/>
</table>
</file>

<file path=xl/tables/table2.xml><?xml version="1.0" encoding="utf-8"?>
<table xmlns="http://schemas.openxmlformats.org/spreadsheetml/2006/main" id="2" name="Market" displayName="Market" ref="A1:G3" headerRowCount="1">
  <autoFilter ref="A1:G3"/>
  <tableColumns count="7">
    <tableColumn id="1" name="legacy_id"/>
    <tableColumn id="2" name="description"/>
    <tableColumn id="3" name="code"/>
    <tableColumn id="4" name="suffix"/>
    <tableColumn id="5" name="country"/>
    <tableColumn id="6" name="is_exchange_listed"/>
    <tableColumn id="7" name="notes"/>
  </tableColumns>
  <tableStyleInfo name="TableStyleMedium9" showFirstColumn="0" showLastColumn="0" showRowStripes="1" showColumnStripes="0"/>
</table>
</file>

<file path=xl/tables/table3.xml><?xml version="1.0" encoding="utf-8"?>
<table xmlns="http://schemas.openxmlformats.org/spreadsheetml/2006/main" id="3" name="Instrument" displayName="Instrument" ref="A1:I11" headerRowCount="1">
  <autoFilter ref="A1:I11"/>
  <tableColumns count="9">
    <tableColumn id="1" name="legacy_id"/>
    <tableColumn id="2" name="name"/>
    <tableColumn id="3" name="description"/>
    <tableColumn id="4" name="currency"/>
    <tableColumn id="5" name="market__code"/>
    <tableColumn id="6" name="legal_form"/>
    <tableColumn id="7" name="cgt_asset_category_override"/>
    <tableColumn id="8" name="is_taxable_australian_property_override"/>
    <tableColumn id="9" name="notes"/>
  </tableColumns>
  <tableStyleInfo name="TableStyleMedium9" showFirstColumn="0" showLastColumn="0" showRowStripes="1" showColumnStripes="0"/>
</table>
</file>

<file path=xl/tables/table4.xml><?xml version="1.0" encoding="utf-8"?>
<table xmlns="http://schemas.openxmlformats.org/spreadsheetml/2006/main" id="4" name="Buy" displayName="Buy" ref="A1:J348" headerRowCount="1">
  <autoFilter ref="A1:J348"/>
  <tableColumns count="10">
    <tableColumn id="1" name="legacy_id"/>
    <tableColumn id="2" name="instrument__name"/>
    <tableColumn id="3" name="date"/>
    <tableColumn id="4" name="quantity"/>
    <tableColumn id="5" name="unit_price"/>
    <tableColumn id="6" name="unit_price_currency"/>
    <tableColumn id="7" name="total_brokerage"/>
    <tableColumn id="8" name="total_brokerage_currency"/>
    <tableColumn id="9" name="file"/>
    <tableColumn id="10" name="notes"/>
  </tableColumns>
  <tableStyleInfo name="TableStyleMedium9" showFirstColumn="0" showLastColumn="0" showRowStripes="1" showColumnStripes="0"/>
</table>
</file>

<file path=xl/tables/table5.xml><?xml version="1.0" encoding="utf-8"?>
<table xmlns="http://schemas.openxmlformats.org/spreadsheetml/2006/main" id="5" name="Sell" displayName="Sell" ref="A1:K6" headerRowCount="1">
  <autoFilter ref="A1:K6"/>
  <tableColumns count="11">
    <tableColumn id="1" name="legacy_id"/>
    <tableColumn id="2" name="instrument__name"/>
    <tableColumn id="3" name="date"/>
    <tableColumn id="4" name="quantity"/>
    <tableColumn id="5" name="unit_price"/>
    <tableColumn id="6" name="unit_price_currency"/>
    <tableColumn id="7" name="total_brokerage"/>
    <tableColumn id="8" name="total_brokerage_currency"/>
    <tableColumn id="9" name="file"/>
    <tableColumn id="10" name="strategy"/>
    <tableColumn id="11" name="notes"/>
  </tableColumns>
  <tableStyleInfo name="TableStyleMedium9" showFirstColumn="0" showLastColumn="0" showRowStripes="1" showColumnStripes="0"/>
</table>
</file>

<file path=xl/tables/table6.xml><?xml version="1.0" encoding="utf-8"?>
<table xmlns="http://schemas.openxmlformats.org/spreadsheetml/2006/main" id="6" name="SellAllocation" displayName="SellAllocation" ref="A1:E4" headerRowCount="1">
  <autoFilter ref="A1:E4"/>
  <tableColumns count="5">
    <tableColumn id="1" name="legacy_id"/>
    <tableColumn id="2" name="quantity"/>
    <tableColumn id="3" name="lookup_legacy_sell"/>
    <tableColumn id="4" name="lookup_legacy_buy"/>
    <tableColumn id="5" name="notes"/>
  </tableColumns>
  <tableStyleInfo name="TableStyleMedium9" showFirstColumn="0" showLastColumn="0" showRowStripes="1" showColumnStripes="0"/>
</table>
</file>

<file path=xl/tables/table7.xml><?xml version="1.0" encoding="utf-8"?>
<table xmlns="http://schemas.openxmlformats.org/spreadsheetml/2006/main" id="7" name="ShareSplit" displayName="ShareSplit" ref="A1:H3" headerRowCount="1">
  <autoFilter ref="A1:H3"/>
  <tableColumns count="8">
    <tableColumn id="1" name="legacy_id"/>
    <tableColumn id="2" name="description"/>
    <tableColumn id="3" name="instrument__name"/>
    <tableColumn id="4" name="quantity_before"/>
    <tableColumn id="5" name="quantity_after"/>
    <tableColumn id="6" name="date"/>
    <tableColumn id="7" name="file"/>
    <tableColumn id="8" name="notes"/>
  </tableColumns>
  <tableStyleInfo name="TableStyleMedium9" showFirstColumn="0" showLastColumn="0" showRowStripes="1" showColumnStripes="0"/>
</table>
</file>

<file path=xl/tables/table8.xml><?xml version="1.0" encoding="utf-8"?>
<table xmlns="http://schemas.openxmlformats.org/spreadsheetml/2006/main" id="8" name="CostBaseAdjustment" displayName="CostBaseAdjustment" ref="A1:I22" headerRowCount="1">
  <autoFilter ref="A1:I22"/>
  <tableColumns count="9">
    <tableColumn id="1" name="legacy_id"/>
    <tableColumn id="2" name="description"/>
    <tableColumn id="3" name="cost_base_increase"/>
    <tableColumn id="4" name="cost_base_increase_currency"/>
    <tableColumn id="5" name="instrument__name"/>
    <tableColumn id="6" name="financial_year_end_date"/>
    <tableColumn id="7" name="file"/>
    <tableColumn id="8" name="allocation_method"/>
    <tableColumn id="9" name="notes"/>
  </tableColumns>
  <tableStyleInfo name="TableStyleMedium9" showFirstColumn="0" showLastColumn="0" showRowStripes="1" showColumnStripes="0"/>
</table>
</file>

<file path=xl/tables/table9.xml><?xml version="1.0" encoding="utf-8"?>
<table xmlns="http://schemas.openxmlformats.org/spreadsheetml/2006/main" id="9" name="Dividend" displayName="Dividend" ref="A1:R127" headerRowCount="1">
  <autoFilter ref="A1:R127"/>
  <tableColumns count="18">
    <tableColumn id="1" name="legacy_id"/>
    <tableColumn id="2" name="instrument__name"/>
    <tableColumn id="3" name="date"/>
    <tableColumn id="4" name="quantity"/>
    <tableColumn id="5" name="file"/>
    <tableColumn id="6" name="dividend_type"/>
    <tableColumn id="7" name="unfranked_amount_per_share"/>
    <tableColumn id="8" name="unfranked_amount_per_share_currency"/>
    <tableColumn id="9" name="franked_amount_per_share"/>
    <tableColumn id="10" name="franked_amount_per_share_currency"/>
    <tableColumn id="11" name="local_withholding_tax"/>
    <tableColumn id="12" name="local_withholding_tax_currency"/>
    <tableColumn id="13" name="foreign_tax_credit"/>
    <tableColumn id="14" name="foreign_tax_credit_currency"/>
    <tableColumn id="15" name="lic_capital_gain"/>
    <tableColumn id="16" name="lic_capital_gain_currency"/>
    <tableColumn id="17" name="corporate_tax_rate_percentage"/>
    <tableColumn id="18" name="notes"/>
  </tableColumns>
  <tableStyleInfo name="TableStyleMedium9" showFirstColumn="0" showLastColumn="0" showRowStripes="1" showColumnStripes="0"/>
</table>
</file>

<file path=xl/tables/table10.xml><?xml version="1.0" encoding="utf-8"?>
<table xmlns="http://schemas.openxmlformats.org/spreadsheetml/2006/main" id="10" name="Distribution" displayName="Distribution" ref="A1:J86" headerRowCount="1">
  <autoFilter ref="A1:J86"/>
  <tableColumns count="10">
    <tableColumn id="1" name="legacy_id"/>
    <tableColumn id="2" name="instrument__name"/>
    <tableColumn id="3" name="date"/>
    <tableColumn id="4" name="quantity"/>
    <tableColumn id="5" name="file"/>
    <tableColumn id="6" name="distribution_amount_per_share"/>
    <tableColumn id="7" name="distribution_amount_per_share_currency"/>
    <tableColumn id="8" name="total_withholding_tax"/>
    <tableColumn id="9" name="total_withholding_tax_currency"/>
    <tableColumn id="10" name="notes"/>
  </tableColumns>
  <tableStyleInfo name="TableStyleMedium9" showFirstColumn="0" showLastColumn="0" showRowStripes="1" showColumnStripes="0"/>
</table>
</file>

<file path=xl/tables/table11.xml><?xml version="1.0" encoding="utf-8"?>
<table xmlns="http://schemas.openxmlformats.org/spreadsheetml/2006/main" id="11" name="ResidencyPeriod" displayName="ResidencyPeriod" ref="A1:G2" headerRowCount="1">
  <autoFilter ref="A1:G2"/>
  <tableColumns count="7">
    <tableColumn id="1" name="legacy_id"/>
    <tableColumn id="2" name="description"/>
    <tableColumn id="3" name="status"/>
    <tableColumn id="4" name="start_date"/>
    <tableColumn id="5" name="end_date"/>
    <tableColumn id="6" name="i1_election_made"/>
    <tableColumn id="7" name="notes"/>
  </tableColumns>
  <tableStyleInfo name="TableStyleMedium9" showFirstColumn="0" showLastColumn="0" showRowStripes="1" showColumnStripes="0"/>
</table>
</file>

<file path=xl/tables/table12.xml><?xml version="1.0" encoding="utf-8"?>
<table xmlns="http://schemas.openxmlformats.org/spreadsheetml/2006/main" id="12" name="InstrumentValuation" displayName="InstrumentValuation" ref="A1:I2" headerRowCount="1">
  <autoFilter ref="A1:I2"/>
  <tableColumns count="9">
    <tableColumn id="1" name="legacy_id"/>
    <tableColumn id="2" name="description"/>
    <tableColumn id="3" name="instrument__name"/>
    <tableColumn id="4" name="valuation_date"/>
    <tableColumn id="5" name="unit_value"/>
    <tableColumn id="6" name="unit_value_currency"/>
    <tableColumn id="7" name="purpose"/>
    <tableColumn id="8" name="source"/>
    <tableColumn id="9" name="notes"/>
  </tableColumns>
  <tableStyleInfo name="TableStyleMedium9" showFirstColumn="0" showLastColumn="0" showRowStripes="1" showColumnStripes="0"/>
</table>
</file>

<file path=xl/tables/table13.xml><?xml version="1.0" encoding="utf-8"?>
<table xmlns="http://schemas.openxmlformats.org/spreadsheetml/2006/main" id="13" name="CapitalLossCarryForward" displayName="CapitalLossCarryForward" ref="A1:G2" headerRowCount="1">
  <autoFilter ref="A1:G2"/>
  <tableColumns count="7">
    <tableColumn id="1" name="legacy_id"/>
    <tableColumn id="2" name="description"/>
    <tableColumn id="3" name="financial_year_end_date"/>
    <tableColumn id="4" name="amount"/>
    <tableColumn id="5" name="amount_currency"/>
    <tableColumn id="6" name="is_opening_balance"/>
    <tableColumn id="7" name="notes"/>
  </tableColumns>
  <tableStyleInfo name="TableStyleMedium9" showFirstColumn="0" showLastColumn="0" showRowStripes="1" showColumnStripes="0"/>
</table>
</file>

<file path=xl/tables/table14.xml><?xml version="1.0" encoding="utf-8"?>
<table xmlns="http://schemas.openxmlformats.org/spreadsheetml/2006/main" id="14" name="AttributionStatement" displayName="AttributionStatement" ref="A1:H23" headerRowCount="1">
  <autoFilter ref="A1:H23"/>
  <tableColumns count="8">
    <tableColumn id="1" name="legacy_id"/>
    <tableColumn id="2" name="description"/>
    <tableColumn id="3" name="instrument__name"/>
    <tableColumn id="4" name="financial_year_end_date"/>
    <tableColumn id="5" name="file"/>
    <tableColumn id="6" name="gain_subject_to_mit_withholding"/>
    <tableColumn id="7" name="lookup_legacy_adjustment"/>
    <tableColumn id="8" name="notes"/>
  </tableColumns>
  <tableStyleInfo name="TableStyleMedium9" showFirstColumn="0" showLastColumn="0" showRowStripes="1" showColumnStripes="0"/>
</table>
</file>

<file path=xl/tables/table15.xml><?xml version="1.0" encoding="utf-8"?>
<table xmlns="http://schemas.openxmlformats.org/spreadsheetml/2006/main" id="15" name="AttributionComponent" displayName="AttributionComponent" ref="A1:G231" headerRowCount="1">
  <autoFilter ref="A1:G231"/>
  <tableColumns count="7">
    <tableColumn id="1" name="legacy_id"/>
    <tableColumn id="2" name="description"/>
    <tableColumn id="3" name="component"/>
    <tableColumn id="4" name="amount"/>
    <tableColumn id="5" name="amount_currency"/>
    <tableColumn id="6" name="lookup_legacy_statement"/>
    <tableColumn id="7"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2.2" customWidth="1" min="1" max="1"/>
    <col width="25.2" customWidth="1" min="2" max="2"/>
    <col width="82.2" customWidth="1" min="3" max="3"/>
    <col width="13.2" customWidth="1" min="4" max="4"/>
    <col width="30.2" customWidth="1" min="5" max="5"/>
  </cols>
  <sheetData>
    <row r="1" ht="32" customHeight="1">
      <c r="A1" s="1" t="inlineStr">
        <is>
          <t>sheet_name</t>
        </is>
      </c>
      <c r="B1" s="1" t="inlineStr">
        <is>
          <t>table_name</t>
        </is>
      </c>
      <c r="C1" s="1" t="inlineStr">
        <is>
          <t>description</t>
        </is>
      </c>
      <c r="D1" s="1" t="inlineStr">
        <is>
          <t>num_records</t>
        </is>
      </c>
      <c r="E1" s="1" t="inlineStr">
        <is>
          <t>link</t>
        </is>
      </c>
      <c r="G1" t="inlineStr">
        <is>
          <t>FAKE DATA - generated for demonstration, not a real portfolio</t>
        </is>
      </c>
    </row>
    <row r="2">
      <c r="A2" t="inlineStr">
        <is>
          <t>01</t>
        </is>
      </c>
      <c r="B2" t="inlineStr">
        <is>
          <t>Market</t>
        </is>
      </c>
      <c r="C2" t="inlineStr">
        <is>
          <t>Share markets, such as ASX, NASDAQ, LSE, etc</t>
        </is>
      </c>
      <c r="D2" t="n">
        <v>2</v>
      </c>
      <c r="E2" s="2">
        <f>HYPERLINK("#'01'!A1", "01")</f>
        <v/>
      </c>
    </row>
    <row r="3">
      <c r="A3" t="inlineStr">
        <is>
          <t>02</t>
        </is>
      </c>
      <c r="B3" t="inlineStr">
        <is>
          <t>Instrument</t>
        </is>
      </c>
      <c r="C3" t="inlineStr">
        <is>
          <t>Share codes, eg BHP, VGS, VAS, etc</t>
        </is>
      </c>
      <c r="D3" t="n">
        <v>10</v>
      </c>
      <c r="E3" s="2">
        <f>HYPERLINK("#'02'!A1", "02")</f>
        <v/>
      </c>
    </row>
    <row r="4">
      <c r="A4" t="inlineStr">
        <is>
          <t>03</t>
        </is>
      </c>
      <c r="B4" t="inlineStr">
        <is>
          <t>Buy</t>
        </is>
      </c>
      <c r="C4" t="inlineStr">
        <is>
          <t>Purchases of share parcels.</t>
        </is>
      </c>
      <c r="D4" t="n">
        <v>347</v>
      </c>
      <c r="E4" s="2">
        <f>HYPERLINK("#'03'!A1", "03")</f>
        <v/>
      </c>
    </row>
    <row r="5">
      <c r="A5" t="inlineStr">
        <is>
          <t>04</t>
        </is>
      </c>
      <c r="B5" t="inlineStr">
        <is>
          <t>Sell</t>
        </is>
      </c>
      <c r="C5" t="inlineStr">
        <is>
          <t>Sales of shares.</t>
        </is>
      </c>
      <c r="D5" t="n">
        <v>5</v>
      </c>
      <c r="E5" s="2">
        <f>HYPERLINK("#'04'!A1", "04")</f>
        <v/>
      </c>
    </row>
    <row r="6">
      <c r="A6" t="inlineStr">
        <is>
          <t>05</t>
        </is>
      </c>
      <c r="B6" t="inlineStr">
        <is>
          <t>SellAllocation</t>
        </is>
      </c>
      <c r="C6" t="inlineStr">
        <is>
          <t>Allocations of sell events to specific parcels.</t>
        </is>
      </c>
      <c r="D6" t="n">
        <v>3</v>
      </c>
      <c r="E6" s="2">
        <f>HYPERLINK("#'05'!A1", "05")</f>
        <v/>
      </c>
    </row>
    <row r="7">
      <c r="A7" t="inlineStr">
        <is>
          <t>06</t>
        </is>
      </c>
      <c r="B7" t="inlineStr">
        <is>
          <t>ShareSplit</t>
        </is>
      </c>
      <c r="C7" s="3" t="inlineStr">
        <is>
          <t>Events which transform parcels into new parcels with different cost base and quantity.</t>
        </is>
      </c>
      <c r="D7" t="n">
        <v>2</v>
      </c>
      <c r="E7" s="2">
        <f>HYPERLINK("#'06'!A1", "06")</f>
        <v/>
      </c>
    </row>
    <row r="8">
      <c r="A8" t="inlineStr">
        <is>
          <t>07</t>
        </is>
      </c>
      <c r="B8" t="inlineStr">
        <is>
          <t>CostBaseAdjustment</t>
        </is>
      </c>
      <c r="C8" t="inlineStr">
        <is>
          <t>Cost base adjustments applied to instruments, i.e. AMIT cost base adjustments.</t>
        </is>
      </c>
      <c r="D8" t="n">
        <v>21</v>
      </c>
      <c r="E8" s="2">
        <f>HYPERLINK("#'07'!A1", "07")</f>
        <v/>
      </c>
    </row>
    <row r="9">
      <c r="A9" t="inlineStr">
        <is>
          <t>08</t>
        </is>
      </c>
      <c r="B9" t="inlineStr">
        <is>
          <t>Dividend</t>
        </is>
      </c>
      <c r="C9" t="inlineStr">
        <is>
          <t>Dividends, including local dividends and foreign dividends.</t>
        </is>
      </c>
      <c r="D9" t="n">
        <v>126</v>
      </c>
      <c r="E9" s="2">
        <f>HYPERLINK("#'08'!A1", "08")</f>
        <v/>
      </c>
    </row>
    <row r="10">
      <c r="A10" t="inlineStr">
        <is>
          <t>09</t>
        </is>
      </c>
      <c r="B10" t="inlineStr">
        <is>
          <t>Distribution</t>
        </is>
      </c>
      <c r="C10" t="inlineStr">
        <is>
          <t>Distributions, such as the income received from ETFs</t>
        </is>
      </c>
      <c r="D10" t="n">
        <v>85</v>
      </c>
      <c r="E10" s="2">
        <f>HYPERLINK("#'09'!A1", "09")</f>
        <v/>
      </c>
    </row>
    <row r="11">
      <c r="A11" t="inlineStr">
        <is>
          <t>10</t>
        </is>
      </c>
      <c r="B11" t="inlineStr">
        <is>
          <t>ResidencyPeriod</t>
        </is>
      </c>
      <c r="C11" s="3" t="inlineStr">
        <is>
          <t>Optional: you can leave this table empty, or enter this information in the app later. Periods of Australian tax residency, used to apportion the CGT discount.</t>
        </is>
      </c>
      <c r="D11" t="n">
        <v>1</v>
      </c>
      <c r="E11" s="2">
        <f>HYPERLINK("#'10'!A1", "10")</f>
        <v/>
      </c>
    </row>
    <row r="12">
      <c r="A12" t="inlineStr">
        <is>
          <t>11</t>
        </is>
      </c>
      <c r="B12" t="inlineStr">
        <is>
          <t>InstrumentValuation</t>
        </is>
      </c>
      <c r="C12" s="3" t="inlineStr">
        <is>
          <t>Optional: you can leave this table empty, or enter this information in the app later. The value of one unit of an instrument on a date, for a deemed disposal.</t>
        </is>
      </c>
      <c r="D12" t="n">
        <v>1</v>
      </c>
      <c r="E12" s="2">
        <f>HYPERLINK("#'11'!A1", "11")</f>
        <v/>
      </c>
    </row>
    <row r="13">
      <c r="A13" t="inlineStr">
        <is>
          <t>12</t>
        </is>
      </c>
      <c r="B13" t="inlineStr">
        <is>
          <t>CapitalLossCarryForward</t>
        </is>
      </c>
      <c r="C13" s="3" t="inlineStr">
        <is>
          <t>Optional: you can leave this table empty, or enter this information in the app later. Capital losses carried forward into a later income year.</t>
        </is>
      </c>
      <c r="D13" t="n">
        <v>1</v>
      </c>
      <c r="E13" s="2">
        <f>HYPERLINK("#'12'!A1", "12")</f>
        <v/>
      </c>
    </row>
    <row r="14">
      <c r="A14" t="inlineStr">
        <is>
          <t>13</t>
        </is>
      </c>
      <c r="B14" t="inlineStr">
        <is>
          <t>AttributionStatement</t>
        </is>
      </c>
      <c r="C14" s="3" t="inlineStr">
        <is>
          <t>Optional: you can leave this table empty, or enter this information in the app later. Annual tax statements from managed investment trusts (AMMA statements).</t>
        </is>
      </c>
      <c r="D14" t="n">
        <v>22</v>
      </c>
      <c r="E14" s="2">
        <f>HYPERLINK("#'13'!A1", "13")</f>
        <v/>
      </c>
    </row>
    <row r="15">
      <c r="A15" t="inlineStr">
        <is>
          <t>14</t>
        </is>
      </c>
      <c r="B15" t="inlineStr">
        <is>
          <t>AttributionComponent</t>
        </is>
      </c>
      <c r="C15" s="3" t="inlineStr">
        <is>
          <t>Optional: you can leave this table empty, or enter this information in the app later. Individual components of a managed investment trust annual statement.</t>
        </is>
      </c>
      <c r="D15" t="n">
        <v>230</v>
      </c>
      <c r="E15" s="2">
        <f>HYPERLINK("#'14'!A1", "14")</f>
        <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1.2" customWidth="1" min="1" max="1"/>
    <col width="27.2" customWidth="1" min="2" max="2"/>
    <col width="8.199999999999999" customWidth="1" min="3" max="3"/>
    <col width="8.199999999999999" customWidth="1" min="4" max="4"/>
    <col width="9.199999999999999" customWidth="1" min="5" max="5"/>
    <col width="20.2" customWidth="1" min="6" max="6"/>
    <col width="7.2" customWidth="1" min="7" max="7"/>
  </cols>
  <sheetData>
    <row r="1" ht="32" customHeight="1">
      <c r="A1" s="1" t="inlineStr">
        <is>
          <t>legacy_id</t>
        </is>
      </c>
      <c r="B1" s="1" t="inlineStr">
        <is>
          <t>description</t>
        </is>
      </c>
      <c r="C1" s="1" t="inlineStr">
        <is>
          <t>code</t>
        </is>
      </c>
      <c r="D1" s="1" t="inlineStr">
        <is>
          <t>suffix</t>
        </is>
      </c>
      <c r="E1" s="1" t="inlineStr">
        <is>
          <t>country</t>
        </is>
      </c>
      <c r="F1" s="1" t="inlineStr">
        <is>
          <t>is_exchange_listed</t>
        </is>
      </c>
      <c r="G1" s="1" t="inlineStr">
        <is>
          <t>notes</t>
        </is>
      </c>
    </row>
    <row r="2">
      <c r="B2" t="inlineStr">
        <is>
          <t>Australian Stock Exchange</t>
        </is>
      </c>
      <c r="C2" t="inlineStr">
        <is>
          <t>ASX</t>
        </is>
      </c>
      <c r="D2" t="inlineStr">
        <is>
          <t>.AX</t>
        </is>
      </c>
    </row>
    <row r="3">
      <c r="B3" t="inlineStr">
        <is>
          <t>NASDAQ</t>
        </is>
      </c>
      <c r="C3" t="inlineStr">
        <is>
          <t>NASDAQ</t>
        </is>
      </c>
    </row>
  </sheetData>
  <dataValidations count="1">
    <dataValidation sqref="F2:F503" showDropDown="0" showInputMessage="0" showErrorMessage="1" allowBlank="1" errorTitle="Not an allowed value" error="Pick a value for is_exchange_listed from the list." type="list">
      <formula1>'ValueAssistance'!$A$2:$A$3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08"/>
  <sheetViews>
    <sheetView workbookViewId="0">
      <selection activeCell="A1" sqref="A1"/>
    </sheetView>
  </sheetViews>
  <sheetFormatPr baseColWidth="8" defaultRowHeight="15"/>
  <cols>
    <col width="8.199999999999999" customWidth="1" min="1" max="1"/>
    <col width="10.2" customWidth="1" min="2" max="2"/>
    <col width="23.2" customWidth="1" min="3" max="3"/>
    <col width="40.2" customWidth="1" min="4" max="4"/>
    <col width="15.2" customWidth="1" min="5" max="5"/>
    <col width="38.2" customWidth="1" min="6" max="6"/>
    <col width="24.2" customWidth="1" min="7" max="7"/>
    <col width="24.2" customWidth="1" min="8" max="8"/>
    <col width="29.2" customWidth="1" min="9" max="9"/>
    <col width="28.2" customWidth="1" min="10" max="10"/>
    <col width="32.2" customWidth="1" min="11" max="11"/>
  </cols>
  <sheetData>
    <row r="1">
      <c r="A1" s="4" t="inlineStr">
        <is>
          <t>yes/no</t>
        </is>
      </c>
      <c r="B1" s="4" t="inlineStr">
        <is>
          <t>currency</t>
        </is>
      </c>
      <c r="C1" s="4" t="inlineStr">
        <is>
          <t>Instrument.legal_form</t>
        </is>
      </c>
      <c r="D1" s="4" t="inlineStr">
        <is>
          <t>Instrument.cgt_asset_category_override</t>
        </is>
      </c>
      <c r="E1" s="4" t="inlineStr">
        <is>
          <t>Sell.strategy</t>
        </is>
      </c>
      <c r="F1" s="4" t="inlineStr">
        <is>
          <t>CostBaseAdjustment.allocation_method</t>
        </is>
      </c>
      <c r="G1" s="4" t="inlineStr">
        <is>
          <t>Dividend.dividend_type</t>
        </is>
      </c>
      <c r="H1" s="4" t="inlineStr">
        <is>
          <t>ResidencyPeriod.status</t>
        </is>
      </c>
      <c r="I1" s="4" t="inlineStr">
        <is>
          <t>InstrumentValuation.purpose</t>
        </is>
      </c>
      <c r="J1" s="4" t="inlineStr">
        <is>
          <t>InstrumentValuation.source</t>
        </is>
      </c>
      <c r="K1" s="4" t="inlineStr">
        <is>
          <t>AttributionComponent.component</t>
        </is>
      </c>
    </row>
    <row r="2">
      <c r="A2" t="b">
        <v>1</v>
      </c>
      <c r="B2" t="inlineStr">
        <is>
          <t>XUA</t>
        </is>
      </c>
      <c r="C2" t="inlineStr">
        <is>
          <t>UNKNOWN</t>
        </is>
      </c>
      <c r="D2" t="inlineStr">
        <is>
          <t>AU_LISTED_SHARES</t>
        </is>
      </c>
      <c r="E2" t="inlineStr">
        <is>
          <t>FIFO</t>
        </is>
      </c>
      <c r="F2" t="inlineStr">
        <is>
          <t>QTY_HELD</t>
        </is>
      </c>
      <c r="G2" t="inlineStr">
        <is>
          <t>LOCAL</t>
        </is>
      </c>
      <c r="H2" t="inlineStr">
        <is>
          <t>RESIDENT</t>
        </is>
      </c>
      <c r="I2" t="inlineStr">
        <is>
          <t>CUTOVER_2027</t>
        </is>
      </c>
      <c r="J2" t="inlineStr">
        <is>
          <t>USER</t>
        </is>
      </c>
      <c r="K2" t="inlineStr">
        <is>
          <t>DISCOUNTED_TAP</t>
        </is>
      </c>
    </row>
    <row r="3">
      <c r="A3" t="b">
        <v>0</v>
      </c>
      <c r="B3" t="inlineStr">
        <is>
          <t>AFN</t>
        </is>
      </c>
      <c r="C3" t="inlineStr">
        <is>
          <t>COMPANY</t>
        </is>
      </c>
      <c r="D3" t="inlineStr">
        <is>
          <t>OTHER_SHARES</t>
        </is>
      </c>
      <c r="E3" t="inlineStr">
        <is>
          <t>LIFO</t>
        </is>
      </c>
      <c r="F3" t="inlineStr">
        <is>
          <t>MANUAL</t>
        </is>
      </c>
      <c r="G3" t="inlineStr">
        <is>
          <t>FOREIGN</t>
        </is>
      </c>
      <c r="H3" t="inlineStr">
        <is>
          <t>FOREIGN</t>
        </is>
      </c>
      <c r="I3" t="inlineStr">
        <is>
          <t>DEPARTURE</t>
        </is>
      </c>
      <c r="J3" t="inlineStr">
        <is>
          <t>PRICE_HISTORY</t>
        </is>
      </c>
      <c r="K3" t="inlineStr">
        <is>
          <t>DISCOUNTED_NTAP</t>
        </is>
      </c>
    </row>
    <row r="4">
      <c r="B4" t="inlineStr">
        <is>
          <t>AFA</t>
        </is>
      </c>
      <c r="C4" t="inlineStr">
        <is>
          <t>UNIT_TRUST</t>
        </is>
      </c>
      <c r="D4" t="inlineStr">
        <is>
          <t>AU_LISTED_UNITS</t>
        </is>
      </c>
      <c r="E4" t="inlineStr">
        <is>
          <t>MIN_CGT</t>
        </is>
      </c>
      <c r="H4" t="inlineStr">
        <is>
          <t>TEMPORARY</t>
        </is>
      </c>
      <c r="I4" t="inlineStr">
        <is>
          <t>ARRIVAL</t>
        </is>
      </c>
      <c r="J4" t="inlineStr">
        <is>
          <t>MARKET_DATA</t>
        </is>
      </c>
      <c r="K4" t="inlineStr">
        <is>
          <t>OTHER_TAP</t>
        </is>
      </c>
    </row>
    <row r="5">
      <c r="B5" t="inlineStr">
        <is>
          <t>ALL</t>
        </is>
      </c>
      <c r="C5" t="inlineStr">
        <is>
          <t>STAPLED</t>
        </is>
      </c>
      <c r="D5" t="inlineStr">
        <is>
          <t>OTHER_UNITS</t>
        </is>
      </c>
      <c r="E5" t="inlineStr">
        <is>
          <t>MANUAL</t>
        </is>
      </c>
      <c r="I5" t="inlineStr">
        <is>
          <t>PRE_CGT</t>
        </is>
      </c>
      <c r="J5" t="inlineStr">
        <is>
          <t>APPORTIONED</t>
        </is>
      </c>
      <c r="K5" t="inlineStr">
        <is>
          <t>OTHER_NTAP</t>
        </is>
      </c>
    </row>
    <row r="6">
      <c r="B6" t="inlineStr">
        <is>
          <t>ALK</t>
        </is>
      </c>
      <c r="C6" t="inlineStr">
        <is>
          <t>RIGHT_OPTION</t>
        </is>
      </c>
      <c r="D6" t="inlineStr">
        <is>
          <t>AU_REAL_ESTATE</t>
        </is>
      </c>
      <c r="I6" t="inlineStr">
        <is>
          <t>OTHER</t>
        </is>
      </c>
      <c r="K6" t="inlineStr">
        <is>
          <t>FOREIGN_CG_DISCOUNTED</t>
        </is>
      </c>
    </row>
    <row r="7">
      <c r="B7" t="inlineStr">
        <is>
          <t>DZD</t>
        </is>
      </c>
      <c r="C7" t="inlineStr">
        <is>
          <t>DEBT</t>
        </is>
      </c>
      <c r="D7" t="inlineStr">
        <is>
          <t>OVERSEAS_REAL_ESTATE</t>
        </is>
      </c>
      <c r="K7" t="inlineStr">
        <is>
          <t>FOREIGN_CG_OTHER</t>
        </is>
      </c>
    </row>
    <row r="8">
      <c r="B8" t="inlineStr">
        <is>
          <t>ADP</t>
        </is>
      </c>
      <c r="C8" t="inlineStr">
        <is>
          <t>REAL_PROPERTY</t>
        </is>
      </c>
      <c r="D8" t="inlineStr">
        <is>
          <t>COLLECTABLES</t>
        </is>
      </c>
      <c r="K8" t="inlineStr">
        <is>
          <t>AMIT_GROSS_UP</t>
        </is>
      </c>
    </row>
    <row r="9">
      <c r="B9" t="inlineStr">
        <is>
          <t>AOA</t>
        </is>
      </c>
      <c r="C9" t="inlineStr">
        <is>
          <t>COLLECTABLE</t>
        </is>
      </c>
      <c r="D9" t="inlineStr">
        <is>
          <t>OTHER_ASSETS</t>
        </is>
      </c>
      <c r="K9" t="inlineStr">
        <is>
          <t>NET_CAPITAL_GAIN</t>
        </is>
      </c>
    </row>
    <row r="10">
      <c r="B10" t="inlineStr">
        <is>
          <t>AOK</t>
        </is>
      </c>
      <c r="C10" t="inlineStr">
        <is>
          <t>OTHER</t>
        </is>
      </c>
      <c r="K10" t="inlineStr">
        <is>
          <t>TOTAL_CY_CG</t>
        </is>
      </c>
    </row>
    <row r="11">
      <c r="B11" t="inlineStr">
        <is>
          <t>AON</t>
        </is>
      </c>
      <c r="K11" t="inlineStr">
        <is>
          <t>OTHER_CG_DISTRIBUTION</t>
        </is>
      </c>
    </row>
    <row r="12">
      <c r="B12" t="inlineStr">
        <is>
          <t>AOR</t>
        </is>
      </c>
      <c r="K12" t="inlineStr">
        <is>
          <t>COSTBASE_INCREASE</t>
        </is>
      </c>
    </row>
    <row r="13">
      <c r="B13" t="inlineStr">
        <is>
          <t>ARA</t>
        </is>
      </c>
      <c r="K13" t="inlineStr">
        <is>
          <t>COSTBASE_DECREASE</t>
        </is>
      </c>
    </row>
    <row r="14">
      <c r="B14" t="inlineStr">
        <is>
          <t>ARS</t>
        </is>
      </c>
      <c r="K14" t="inlineStr">
        <is>
          <t>TAX_DEFERRED</t>
        </is>
      </c>
    </row>
    <row r="15">
      <c r="B15" t="inlineStr">
        <is>
          <t>ARM</t>
        </is>
      </c>
      <c r="K15" t="inlineStr">
        <is>
          <t>CGT_CONCESSION</t>
        </is>
      </c>
    </row>
    <row r="16">
      <c r="B16" t="inlineStr">
        <is>
          <t>ARP</t>
        </is>
      </c>
      <c r="K16" t="inlineStr">
        <is>
          <t>TAX_FREE</t>
        </is>
      </c>
    </row>
    <row r="17">
      <c r="B17" t="inlineStr">
        <is>
          <t>ARL</t>
        </is>
      </c>
      <c r="K17" t="inlineStr">
        <is>
          <t>TAX_EXEMPT</t>
        </is>
      </c>
    </row>
    <row r="18">
      <c r="B18" t="inlineStr">
        <is>
          <t>AMD</t>
        </is>
      </c>
      <c r="K18" t="inlineStr">
        <is>
          <t>NON_ATTRIBUTABLE</t>
        </is>
      </c>
    </row>
    <row r="19">
      <c r="B19" t="inlineStr">
        <is>
          <t>AWG</t>
        </is>
      </c>
      <c r="K19" t="inlineStr">
        <is>
          <t>FRANKED_DISTRIBUTION</t>
        </is>
      </c>
    </row>
    <row r="20">
      <c r="B20" t="inlineStr">
        <is>
          <t>AUD</t>
        </is>
      </c>
      <c r="K20" t="inlineStr">
        <is>
          <t>FRANKING_CREDIT</t>
        </is>
      </c>
    </row>
    <row r="21">
      <c r="B21" t="inlineStr">
        <is>
          <t>ATS</t>
        </is>
      </c>
      <c r="K21" t="inlineStr">
        <is>
          <t>UNFRANKED_DISTRIBUTION</t>
        </is>
      </c>
    </row>
    <row r="22">
      <c r="B22" t="inlineStr">
        <is>
          <t>AZN</t>
        </is>
      </c>
      <c r="K22" t="inlineStr">
        <is>
          <t>INTEREST</t>
        </is>
      </c>
    </row>
    <row r="23">
      <c r="B23" t="inlineStr">
        <is>
          <t>AZM</t>
        </is>
      </c>
      <c r="K23" t="inlineStr">
        <is>
          <t>OTHER_INCOME</t>
        </is>
      </c>
    </row>
    <row r="24">
      <c r="B24" t="inlineStr">
        <is>
          <t>BSD</t>
        </is>
      </c>
      <c r="K24" t="inlineStr">
        <is>
          <t>FOREIGN_SOURCE_INCOME</t>
        </is>
      </c>
    </row>
    <row r="25">
      <c r="B25" t="inlineStr">
        <is>
          <t>BHD</t>
        </is>
      </c>
      <c r="K25" t="inlineStr">
        <is>
          <t>FOREIGN_INCOME_TAX_OFFSET</t>
        </is>
      </c>
    </row>
    <row r="26">
      <c r="B26" t="inlineStr">
        <is>
          <t>BDT</t>
        </is>
      </c>
      <c r="K26" t="inlineStr">
        <is>
          <t>NON_ASSESSABLE_NON_EXEMPT</t>
        </is>
      </c>
    </row>
    <row r="27">
      <c r="B27" t="inlineStr">
        <is>
          <t>BBD</t>
        </is>
      </c>
      <c r="K27" t="inlineStr">
        <is>
          <t>WITHHOLDING_CREDIT</t>
        </is>
      </c>
    </row>
    <row r="28">
      <c r="B28" t="inlineStr">
        <is>
          <t>BYN</t>
        </is>
      </c>
      <c r="K28" t="inlineStr">
        <is>
          <t>WITHHOLDING_DEDUCTED</t>
        </is>
      </c>
    </row>
    <row r="29">
      <c r="B29" t="inlineStr">
        <is>
          <t>BYB</t>
        </is>
      </c>
    </row>
    <row r="30">
      <c r="B30" t="inlineStr">
        <is>
          <t>BYR</t>
        </is>
      </c>
    </row>
    <row r="31">
      <c r="B31" t="inlineStr">
        <is>
          <t>BEF</t>
        </is>
      </c>
    </row>
    <row r="32">
      <c r="B32" t="inlineStr">
        <is>
          <t>BEC</t>
        </is>
      </c>
    </row>
    <row r="33">
      <c r="B33" t="inlineStr">
        <is>
          <t>BEL</t>
        </is>
      </c>
    </row>
    <row r="34">
      <c r="B34" t="inlineStr">
        <is>
          <t>BZD</t>
        </is>
      </c>
    </row>
    <row r="35">
      <c r="B35" t="inlineStr">
        <is>
          <t>BMD</t>
        </is>
      </c>
    </row>
    <row r="36">
      <c r="B36" t="inlineStr">
        <is>
          <t>BTN</t>
        </is>
      </c>
    </row>
    <row r="37">
      <c r="B37" t="inlineStr">
        <is>
          <t>BOB</t>
        </is>
      </c>
    </row>
    <row r="38">
      <c r="B38" t="inlineStr">
        <is>
          <t>BOL</t>
        </is>
      </c>
    </row>
    <row r="39">
      <c r="B39" t="inlineStr">
        <is>
          <t>BOV</t>
        </is>
      </c>
    </row>
    <row r="40">
      <c r="B40" t="inlineStr">
        <is>
          <t>BOP</t>
        </is>
      </c>
    </row>
    <row r="41">
      <c r="B41" t="inlineStr">
        <is>
          <t>VED</t>
        </is>
      </c>
    </row>
    <row r="42">
      <c r="B42" t="inlineStr">
        <is>
          <t>BAM</t>
        </is>
      </c>
    </row>
    <row r="43">
      <c r="B43" t="inlineStr">
        <is>
          <t>BAD</t>
        </is>
      </c>
    </row>
    <row r="44">
      <c r="B44" t="inlineStr">
        <is>
          <t>BAN</t>
        </is>
      </c>
    </row>
    <row r="45">
      <c r="B45" t="inlineStr">
        <is>
          <t>BWP</t>
        </is>
      </c>
    </row>
    <row r="46">
      <c r="B46" t="inlineStr">
        <is>
          <t>BRC</t>
        </is>
      </c>
    </row>
    <row r="47">
      <c r="B47" t="inlineStr">
        <is>
          <t>BRZ</t>
        </is>
      </c>
    </row>
    <row r="48">
      <c r="B48" t="inlineStr">
        <is>
          <t>BRE</t>
        </is>
      </c>
    </row>
    <row r="49">
      <c r="B49" t="inlineStr">
        <is>
          <t>BRR</t>
        </is>
      </c>
    </row>
    <row r="50">
      <c r="B50" t="inlineStr">
        <is>
          <t>BRN</t>
        </is>
      </c>
    </row>
    <row r="51">
      <c r="B51" t="inlineStr">
        <is>
          <t>BRB</t>
        </is>
      </c>
    </row>
    <row r="52">
      <c r="B52" t="inlineStr">
        <is>
          <t>BRL</t>
        </is>
      </c>
    </row>
    <row r="53">
      <c r="B53" t="inlineStr">
        <is>
          <t>GBP</t>
        </is>
      </c>
    </row>
    <row r="54">
      <c r="B54" t="inlineStr">
        <is>
          <t>BND</t>
        </is>
      </c>
    </row>
    <row r="55">
      <c r="B55" t="inlineStr">
        <is>
          <t>BGL</t>
        </is>
      </c>
    </row>
    <row r="56">
      <c r="B56" t="inlineStr">
        <is>
          <t>BGN</t>
        </is>
      </c>
    </row>
    <row r="57">
      <c r="B57" t="inlineStr">
        <is>
          <t>BGO</t>
        </is>
      </c>
    </row>
    <row r="58">
      <c r="B58" t="inlineStr">
        <is>
          <t>BGM</t>
        </is>
      </c>
    </row>
    <row r="59">
      <c r="B59" t="inlineStr">
        <is>
          <t>BUK</t>
        </is>
      </c>
    </row>
    <row r="60">
      <c r="B60" t="inlineStr">
        <is>
          <t>BIF</t>
        </is>
      </c>
    </row>
    <row r="61">
      <c r="B61" t="inlineStr">
        <is>
          <t>XPF</t>
        </is>
      </c>
    </row>
    <row r="62">
      <c r="B62" t="inlineStr">
        <is>
          <t>KHR</t>
        </is>
      </c>
    </row>
    <row r="63">
      <c r="B63" t="inlineStr">
        <is>
          <t>CAD</t>
        </is>
      </c>
    </row>
    <row r="64">
      <c r="B64" t="inlineStr">
        <is>
          <t>CVE</t>
        </is>
      </c>
    </row>
    <row r="65">
      <c r="B65" t="inlineStr">
        <is>
          <t>KYD</t>
        </is>
      </c>
    </row>
    <row r="66">
      <c r="B66" t="inlineStr">
        <is>
          <t>XAF</t>
        </is>
      </c>
    </row>
    <row r="67">
      <c r="B67" t="inlineStr">
        <is>
          <t>CLE</t>
        </is>
      </c>
    </row>
    <row r="68">
      <c r="B68" t="inlineStr">
        <is>
          <t>CLP</t>
        </is>
      </c>
    </row>
    <row r="69">
      <c r="B69" t="inlineStr">
        <is>
          <t>CLF</t>
        </is>
      </c>
    </row>
    <row r="70">
      <c r="B70" t="inlineStr">
        <is>
          <t>CNX</t>
        </is>
      </c>
    </row>
    <row r="71">
      <c r="B71" t="inlineStr">
        <is>
          <t>CNY</t>
        </is>
      </c>
    </row>
    <row r="72">
      <c r="B72" t="inlineStr">
        <is>
          <t>CNH</t>
        </is>
      </c>
    </row>
    <row r="73">
      <c r="B73" t="inlineStr">
        <is>
          <t>COP</t>
        </is>
      </c>
    </row>
    <row r="74">
      <c r="B74" t="inlineStr">
        <is>
          <t>COU</t>
        </is>
      </c>
    </row>
    <row r="75">
      <c r="B75" t="inlineStr">
        <is>
          <t>KMF</t>
        </is>
      </c>
    </row>
    <row r="76">
      <c r="B76" t="inlineStr">
        <is>
          <t>CDF</t>
        </is>
      </c>
    </row>
    <row r="77">
      <c r="B77" t="inlineStr">
        <is>
          <t>CRC</t>
        </is>
      </c>
    </row>
    <row r="78">
      <c r="B78" t="inlineStr">
        <is>
          <t>HRD</t>
        </is>
      </c>
    </row>
    <row r="79">
      <c r="B79" t="inlineStr">
        <is>
          <t>HRK</t>
        </is>
      </c>
    </row>
    <row r="80">
      <c r="B80" t="inlineStr">
        <is>
          <t>CUC</t>
        </is>
      </c>
    </row>
    <row r="81">
      <c r="B81" t="inlineStr">
        <is>
          <t>CUP</t>
        </is>
      </c>
    </row>
    <row r="82">
      <c r="B82" t="inlineStr">
        <is>
          <t>CYP</t>
        </is>
      </c>
    </row>
    <row r="83">
      <c r="B83" t="inlineStr">
        <is>
          <t>CZK</t>
        </is>
      </c>
    </row>
    <row r="84">
      <c r="B84" t="inlineStr">
        <is>
          <t>CSK</t>
        </is>
      </c>
    </row>
    <row r="85">
      <c r="B85" t="inlineStr">
        <is>
          <t>DKK</t>
        </is>
      </c>
    </row>
    <row r="86">
      <c r="B86" t="inlineStr">
        <is>
          <t>DJF</t>
        </is>
      </c>
    </row>
    <row r="87">
      <c r="B87" t="inlineStr">
        <is>
          <t>DOP</t>
        </is>
      </c>
    </row>
    <row r="88">
      <c r="B88" t="inlineStr">
        <is>
          <t>NLG</t>
        </is>
      </c>
    </row>
    <row r="89">
      <c r="B89" t="inlineStr">
        <is>
          <t>XCD</t>
        </is>
      </c>
    </row>
    <row r="90">
      <c r="B90" t="inlineStr">
        <is>
          <t>DDM</t>
        </is>
      </c>
    </row>
    <row r="91">
      <c r="B91" t="inlineStr">
        <is>
          <t>ECS</t>
        </is>
      </c>
    </row>
    <row r="92">
      <c r="B92" t="inlineStr">
        <is>
          <t>ECV</t>
        </is>
      </c>
    </row>
    <row r="93">
      <c r="B93" t="inlineStr">
        <is>
          <t>EGP</t>
        </is>
      </c>
    </row>
    <row r="94">
      <c r="B94" t="inlineStr">
        <is>
          <t>GQE</t>
        </is>
      </c>
    </row>
    <row r="95">
      <c r="B95" t="inlineStr">
        <is>
          <t>ERN</t>
        </is>
      </c>
    </row>
    <row r="96">
      <c r="B96" t="inlineStr">
        <is>
          <t>EEK</t>
        </is>
      </c>
    </row>
    <row r="97">
      <c r="B97" t="inlineStr">
        <is>
          <t>ETB</t>
        </is>
      </c>
    </row>
    <row r="98">
      <c r="B98" t="inlineStr">
        <is>
          <t>EUR</t>
        </is>
      </c>
    </row>
    <row r="99">
      <c r="B99" t="inlineStr">
        <is>
          <t>XBA</t>
        </is>
      </c>
    </row>
    <row r="100">
      <c r="B100" t="inlineStr">
        <is>
          <t>XEU</t>
        </is>
      </c>
    </row>
    <row r="101">
      <c r="B101" t="inlineStr">
        <is>
          <t>XBB</t>
        </is>
      </c>
    </row>
    <row r="102">
      <c r="B102" t="inlineStr">
        <is>
          <t>XBC</t>
        </is>
      </c>
    </row>
    <row r="103">
      <c r="B103" t="inlineStr">
        <is>
          <t>XBD</t>
        </is>
      </c>
    </row>
    <row r="104">
      <c r="B104" t="inlineStr">
        <is>
          <t>FKP</t>
        </is>
      </c>
    </row>
    <row r="105">
      <c r="B105" t="inlineStr">
        <is>
          <t>FJD</t>
        </is>
      </c>
    </row>
    <row r="106">
      <c r="B106" t="inlineStr">
        <is>
          <t>FIM</t>
        </is>
      </c>
    </row>
    <row r="107">
      <c r="B107" t="inlineStr">
        <is>
          <t>FRF</t>
        </is>
      </c>
    </row>
    <row r="108">
      <c r="B108" t="inlineStr">
        <is>
          <t>XFO</t>
        </is>
      </c>
    </row>
    <row r="109">
      <c r="B109" t="inlineStr">
        <is>
          <t>XFU</t>
        </is>
      </c>
    </row>
    <row r="110">
      <c r="B110" t="inlineStr">
        <is>
          <t>GMD</t>
        </is>
      </c>
    </row>
    <row r="111">
      <c r="B111" t="inlineStr">
        <is>
          <t>GEK</t>
        </is>
      </c>
    </row>
    <row r="112">
      <c r="B112" t="inlineStr">
        <is>
          <t>GEL</t>
        </is>
      </c>
    </row>
    <row r="113">
      <c r="B113" t="inlineStr">
        <is>
          <t>DEM</t>
        </is>
      </c>
    </row>
    <row r="114">
      <c r="B114" t="inlineStr">
        <is>
          <t>GHS</t>
        </is>
      </c>
    </row>
    <row r="115">
      <c r="B115" t="inlineStr">
        <is>
          <t>GHC</t>
        </is>
      </c>
    </row>
    <row r="116">
      <c r="B116" t="inlineStr">
        <is>
          <t>GIP</t>
        </is>
      </c>
    </row>
    <row r="117">
      <c r="B117" t="inlineStr">
        <is>
          <t>XAU</t>
        </is>
      </c>
    </row>
    <row r="118">
      <c r="B118" t="inlineStr">
        <is>
          <t>GRD</t>
        </is>
      </c>
    </row>
    <row r="119">
      <c r="B119" t="inlineStr">
        <is>
          <t>GTQ</t>
        </is>
      </c>
    </row>
    <row r="120">
      <c r="B120" t="inlineStr">
        <is>
          <t>GWP</t>
        </is>
      </c>
    </row>
    <row r="121">
      <c r="B121" t="inlineStr">
        <is>
          <t>GNF</t>
        </is>
      </c>
    </row>
    <row r="122">
      <c r="B122" t="inlineStr">
        <is>
          <t>GNS</t>
        </is>
      </c>
    </row>
    <row r="123">
      <c r="B123" t="inlineStr">
        <is>
          <t>GYD</t>
        </is>
      </c>
    </row>
    <row r="124">
      <c r="B124" t="inlineStr">
        <is>
          <t>HTG</t>
        </is>
      </c>
    </row>
    <row r="125">
      <c r="B125" t="inlineStr">
        <is>
          <t>HNL</t>
        </is>
      </c>
    </row>
    <row r="126">
      <c r="B126" t="inlineStr">
        <is>
          <t>HKD</t>
        </is>
      </c>
    </row>
    <row r="127">
      <c r="B127" t="inlineStr">
        <is>
          <t>HUF</t>
        </is>
      </c>
    </row>
    <row r="128">
      <c r="B128" t="inlineStr">
        <is>
          <t>IMP</t>
        </is>
      </c>
    </row>
    <row r="129">
      <c r="B129" t="inlineStr">
        <is>
          <t>ISK</t>
        </is>
      </c>
    </row>
    <row r="130">
      <c r="B130" t="inlineStr">
        <is>
          <t>ISJ</t>
        </is>
      </c>
    </row>
    <row r="131">
      <c r="B131" t="inlineStr">
        <is>
          <t>INR</t>
        </is>
      </c>
    </row>
    <row r="132">
      <c r="B132" t="inlineStr">
        <is>
          <t>IDR</t>
        </is>
      </c>
    </row>
    <row r="133">
      <c r="B133" t="inlineStr">
        <is>
          <t>IRR</t>
        </is>
      </c>
    </row>
    <row r="134">
      <c r="B134" t="inlineStr">
        <is>
          <t>IQD</t>
        </is>
      </c>
    </row>
    <row r="135">
      <c r="B135" t="inlineStr">
        <is>
          <t>IEP</t>
        </is>
      </c>
    </row>
    <row r="136">
      <c r="B136" t="inlineStr">
        <is>
          <t>ILS</t>
        </is>
      </c>
    </row>
    <row r="137">
      <c r="B137" t="inlineStr">
        <is>
          <t>ILP</t>
        </is>
      </c>
    </row>
    <row r="138">
      <c r="B138" t="inlineStr">
        <is>
          <t>ILR</t>
        </is>
      </c>
    </row>
    <row r="139">
      <c r="B139" t="inlineStr">
        <is>
          <t>ITL</t>
        </is>
      </c>
    </row>
    <row r="140">
      <c r="B140" t="inlineStr">
        <is>
          <t>JMD</t>
        </is>
      </c>
    </row>
    <row r="141">
      <c r="B141" t="inlineStr">
        <is>
          <t>JPY</t>
        </is>
      </c>
    </row>
    <row r="142">
      <c r="B142" t="inlineStr">
        <is>
          <t>JOD</t>
        </is>
      </c>
    </row>
    <row r="143">
      <c r="B143" t="inlineStr">
        <is>
          <t>KZT</t>
        </is>
      </c>
    </row>
    <row r="144">
      <c r="B144" t="inlineStr">
        <is>
          <t>KES</t>
        </is>
      </c>
    </row>
    <row r="145">
      <c r="B145" t="inlineStr">
        <is>
          <t>KWD</t>
        </is>
      </c>
    </row>
    <row r="146">
      <c r="B146" t="inlineStr">
        <is>
          <t>KGS</t>
        </is>
      </c>
    </row>
    <row r="147">
      <c r="B147" t="inlineStr">
        <is>
          <t>LAK</t>
        </is>
      </c>
    </row>
    <row r="148">
      <c r="B148" t="inlineStr">
        <is>
          <t>LVL</t>
        </is>
      </c>
    </row>
    <row r="149">
      <c r="B149" t="inlineStr">
        <is>
          <t>LVR</t>
        </is>
      </c>
    </row>
    <row r="150">
      <c r="B150" t="inlineStr">
        <is>
          <t>LBP</t>
        </is>
      </c>
    </row>
    <row r="151">
      <c r="B151" t="inlineStr">
        <is>
          <t>LSL</t>
        </is>
      </c>
    </row>
    <row r="152">
      <c r="B152" t="inlineStr">
        <is>
          <t>LRD</t>
        </is>
      </c>
    </row>
    <row r="153">
      <c r="B153" t="inlineStr">
        <is>
          <t>LYD</t>
        </is>
      </c>
    </row>
    <row r="154">
      <c r="B154" t="inlineStr">
        <is>
          <t>LTL</t>
        </is>
      </c>
    </row>
    <row r="155">
      <c r="B155" t="inlineStr">
        <is>
          <t>LTT</t>
        </is>
      </c>
    </row>
    <row r="156">
      <c r="B156" t="inlineStr">
        <is>
          <t>LUL</t>
        </is>
      </c>
    </row>
    <row r="157">
      <c r="B157" t="inlineStr">
        <is>
          <t>LUC</t>
        </is>
      </c>
    </row>
    <row r="158">
      <c r="B158" t="inlineStr">
        <is>
          <t>LUF</t>
        </is>
      </c>
    </row>
    <row r="159">
      <c r="B159" t="inlineStr">
        <is>
          <t>MOP</t>
        </is>
      </c>
    </row>
    <row r="160">
      <c r="B160" t="inlineStr">
        <is>
          <t>MKD</t>
        </is>
      </c>
    </row>
    <row r="161">
      <c r="B161" t="inlineStr">
        <is>
          <t>MKN</t>
        </is>
      </c>
    </row>
    <row r="162">
      <c r="B162" t="inlineStr">
        <is>
          <t>MGA</t>
        </is>
      </c>
    </row>
    <row r="163">
      <c r="B163" t="inlineStr">
        <is>
          <t>MGF</t>
        </is>
      </c>
    </row>
    <row r="164">
      <c r="B164" t="inlineStr">
        <is>
          <t>MWK</t>
        </is>
      </c>
    </row>
    <row r="165">
      <c r="B165" t="inlineStr">
        <is>
          <t>MYR</t>
        </is>
      </c>
    </row>
    <row r="166">
      <c r="B166" t="inlineStr">
        <is>
          <t>MVR</t>
        </is>
      </c>
    </row>
    <row r="167">
      <c r="B167" t="inlineStr">
        <is>
          <t>MVP</t>
        </is>
      </c>
    </row>
    <row r="168">
      <c r="B168" t="inlineStr">
        <is>
          <t>MLF</t>
        </is>
      </c>
    </row>
    <row r="169">
      <c r="B169" t="inlineStr">
        <is>
          <t>MTL</t>
        </is>
      </c>
    </row>
    <row r="170">
      <c r="B170" t="inlineStr">
        <is>
          <t>MTP</t>
        </is>
      </c>
    </row>
    <row r="171">
      <c r="B171" t="inlineStr">
        <is>
          <t>MRU</t>
        </is>
      </c>
    </row>
    <row r="172">
      <c r="B172" t="inlineStr">
        <is>
          <t>MRO</t>
        </is>
      </c>
    </row>
    <row r="173">
      <c r="B173" t="inlineStr">
        <is>
          <t>MUR</t>
        </is>
      </c>
    </row>
    <row r="174">
      <c r="B174" t="inlineStr">
        <is>
          <t>MXV</t>
        </is>
      </c>
    </row>
    <row r="175">
      <c r="B175" t="inlineStr">
        <is>
          <t>MXN</t>
        </is>
      </c>
    </row>
    <row r="176">
      <c r="B176" t="inlineStr">
        <is>
          <t>MXP</t>
        </is>
      </c>
    </row>
    <row r="177">
      <c r="B177" t="inlineStr">
        <is>
          <t>MDC</t>
        </is>
      </c>
    </row>
    <row r="178">
      <c r="B178" t="inlineStr">
        <is>
          <t>MDL</t>
        </is>
      </c>
    </row>
    <row r="179">
      <c r="B179" t="inlineStr">
        <is>
          <t>MCF</t>
        </is>
      </c>
    </row>
    <row r="180">
      <c r="B180" t="inlineStr">
        <is>
          <t>MNT</t>
        </is>
      </c>
    </row>
    <row r="181">
      <c r="B181" t="inlineStr">
        <is>
          <t>MAD</t>
        </is>
      </c>
    </row>
    <row r="182">
      <c r="B182" t="inlineStr">
        <is>
          <t>MAF</t>
        </is>
      </c>
    </row>
    <row r="183">
      <c r="B183" t="inlineStr">
        <is>
          <t>MZE</t>
        </is>
      </c>
    </row>
    <row r="184">
      <c r="B184" t="inlineStr">
        <is>
          <t>MZN</t>
        </is>
      </c>
    </row>
    <row r="185">
      <c r="B185" t="inlineStr">
        <is>
          <t>MZM</t>
        </is>
      </c>
    </row>
    <row r="186">
      <c r="B186" t="inlineStr">
        <is>
          <t>MMK</t>
        </is>
      </c>
    </row>
    <row r="187">
      <c r="B187" t="inlineStr">
        <is>
          <t>NAD</t>
        </is>
      </c>
    </row>
    <row r="188">
      <c r="B188" t="inlineStr">
        <is>
          <t>NPR</t>
        </is>
      </c>
    </row>
    <row r="189">
      <c r="B189" t="inlineStr">
        <is>
          <t>ANG</t>
        </is>
      </c>
    </row>
    <row r="190">
      <c r="B190" t="inlineStr">
        <is>
          <t>TWD</t>
        </is>
      </c>
    </row>
    <row r="191">
      <c r="B191" t="inlineStr">
        <is>
          <t>NZD</t>
        </is>
      </c>
    </row>
    <row r="192">
      <c r="B192" t="inlineStr">
        <is>
          <t>NIO</t>
        </is>
      </c>
    </row>
    <row r="193">
      <c r="B193" t="inlineStr">
        <is>
          <t>NIC</t>
        </is>
      </c>
    </row>
    <row r="194">
      <c r="B194" t="inlineStr">
        <is>
          <t>NGN</t>
        </is>
      </c>
    </row>
    <row r="195">
      <c r="B195" t="inlineStr">
        <is>
          <t>KPW</t>
        </is>
      </c>
    </row>
    <row r="196">
      <c r="B196" t="inlineStr">
        <is>
          <t>NOK</t>
        </is>
      </c>
    </row>
    <row r="197">
      <c r="B197" t="inlineStr">
        <is>
          <t>OMR</t>
        </is>
      </c>
    </row>
    <row r="198">
      <c r="B198" t="inlineStr">
        <is>
          <t>PKR</t>
        </is>
      </c>
    </row>
    <row r="199">
      <c r="B199" t="inlineStr">
        <is>
          <t>XPD</t>
        </is>
      </c>
    </row>
    <row r="200">
      <c r="B200" t="inlineStr">
        <is>
          <t>PAB</t>
        </is>
      </c>
    </row>
    <row r="201">
      <c r="B201" t="inlineStr">
        <is>
          <t>PGK</t>
        </is>
      </c>
    </row>
    <row r="202">
      <c r="B202" t="inlineStr">
        <is>
          <t>PYG</t>
        </is>
      </c>
    </row>
    <row r="203">
      <c r="B203" t="inlineStr">
        <is>
          <t>PEI</t>
        </is>
      </c>
    </row>
    <row r="204">
      <c r="B204" t="inlineStr">
        <is>
          <t>PEN</t>
        </is>
      </c>
    </row>
    <row r="205">
      <c r="B205" t="inlineStr">
        <is>
          <t>PES</t>
        </is>
      </c>
    </row>
    <row r="206">
      <c r="B206" t="inlineStr">
        <is>
          <t>PHP</t>
        </is>
      </c>
    </row>
    <row r="207">
      <c r="B207" t="inlineStr">
        <is>
          <t>XPT</t>
        </is>
      </c>
    </row>
    <row r="208">
      <c r="B208" t="inlineStr">
        <is>
          <t>PLN</t>
        </is>
      </c>
    </row>
    <row r="209">
      <c r="B209" t="inlineStr">
        <is>
          <t>PLZ</t>
        </is>
      </c>
    </row>
    <row r="210">
      <c r="B210" t="inlineStr">
        <is>
          <t>PTE</t>
        </is>
      </c>
    </row>
    <row r="211">
      <c r="B211" t="inlineStr">
        <is>
          <t>GWE</t>
        </is>
      </c>
    </row>
    <row r="212">
      <c r="B212" t="inlineStr">
        <is>
          <t>QAR</t>
        </is>
      </c>
    </row>
    <row r="213">
      <c r="B213" t="inlineStr">
        <is>
          <t>XRE</t>
        </is>
      </c>
    </row>
    <row r="214">
      <c r="B214" t="inlineStr">
        <is>
          <t>RHD</t>
        </is>
      </c>
    </row>
    <row r="215">
      <c r="B215" t="inlineStr">
        <is>
          <t>RON</t>
        </is>
      </c>
    </row>
    <row r="216">
      <c r="B216" t="inlineStr">
        <is>
          <t>ROL</t>
        </is>
      </c>
    </row>
    <row r="217">
      <c r="B217" t="inlineStr">
        <is>
          <t>RUB</t>
        </is>
      </c>
    </row>
    <row r="218">
      <c r="B218" t="inlineStr">
        <is>
          <t>RUR</t>
        </is>
      </c>
    </row>
    <row r="219">
      <c r="B219" t="inlineStr">
        <is>
          <t>RWF</t>
        </is>
      </c>
    </row>
    <row r="220">
      <c r="B220" t="inlineStr">
        <is>
          <t>SVC</t>
        </is>
      </c>
    </row>
    <row r="221">
      <c r="B221" t="inlineStr">
        <is>
          <t>WST</t>
        </is>
      </c>
    </row>
    <row r="222">
      <c r="B222" t="inlineStr">
        <is>
          <t>SAR</t>
        </is>
      </c>
    </row>
    <row r="223">
      <c r="B223" t="inlineStr">
        <is>
          <t>RSD</t>
        </is>
      </c>
    </row>
    <row r="224">
      <c r="B224" t="inlineStr">
        <is>
          <t>CSD</t>
        </is>
      </c>
    </row>
    <row r="225">
      <c r="B225" t="inlineStr">
        <is>
          <t>SCR</t>
        </is>
      </c>
    </row>
    <row r="226">
      <c r="B226" t="inlineStr">
        <is>
          <t>SLE</t>
        </is>
      </c>
    </row>
    <row r="227">
      <c r="B227" t="inlineStr">
        <is>
          <t>SLL</t>
        </is>
      </c>
    </row>
    <row r="228">
      <c r="B228" t="inlineStr">
        <is>
          <t>XAG</t>
        </is>
      </c>
    </row>
    <row r="229">
      <c r="B229" t="inlineStr">
        <is>
          <t>SGD</t>
        </is>
      </c>
    </row>
    <row r="230">
      <c r="B230" t="inlineStr">
        <is>
          <t>SKK</t>
        </is>
      </c>
    </row>
    <row r="231">
      <c r="B231" t="inlineStr">
        <is>
          <t>SIT</t>
        </is>
      </c>
    </row>
    <row r="232">
      <c r="B232" t="inlineStr">
        <is>
          <t>SBD</t>
        </is>
      </c>
    </row>
    <row r="233">
      <c r="B233" t="inlineStr">
        <is>
          <t>SOS</t>
        </is>
      </c>
    </row>
    <row r="234">
      <c r="B234" t="inlineStr">
        <is>
          <t>ZAR</t>
        </is>
      </c>
    </row>
    <row r="235">
      <c r="B235" t="inlineStr">
        <is>
          <t>ZAL</t>
        </is>
      </c>
    </row>
    <row r="236">
      <c r="B236" t="inlineStr">
        <is>
          <t>KRH</t>
        </is>
      </c>
    </row>
    <row r="237">
      <c r="B237" t="inlineStr">
        <is>
          <t>KRW</t>
        </is>
      </c>
    </row>
    <row r="238">
      <c r="B238" t="inlineStr">
        <is>
          <t>KRO</t>
        </is>
      </c>
    </row>
    <row r="239">
      <c r="B239" t="inlineStr">
        <is>
          <t>SSP</t>
        </is>
      </c>
    </row>
    <row r="240">
      <c r="B240" t="inlineStr">
        <is>
          <t>SUR</t>
        </is>
      </c>
    </row>
    <row r="241">
      <c r="B241" t="inlineStr">
        <is>
          <t>ESP</t>
        </is>
      </c>
    </row>
    <row r="242">
      <c r="B242" t="inlineStr">
        <is>
          <t>ESA</t>
        </is>
      </c>
    </row>
    <row r="243">
      <c r="B243" t="inlineStr">
        <is>
          <t>ESB</t>
        </is>
      </c>
    </row>
    <row r="244">
      <c r="B244" t="inlineStr">
        <is>
          <t>XDR</t>
        </is>
      </c>
    </row>
    <row r="245">
      <c r="B245" t="inlineStr">
        <is>
          <t>LKR</t>
        </is>
      </c>
    </row>
    <row r="246">
      <c r="B246" t="inlineStr">
        <is>
          <t>SHP</t>
        </is>
      </c>
    </row>
    <row r="247">
      <c r="B247" t="inlineStr">
        <is>
          <t>XSU</t>
        </is>
      </c>
    </row>
    <row r="248">
      <c r="B248" t="inlineStr">
        <is>
          <t>SDD</t>
        </is>
      </c>
    </row>
    <row r="249">
      <c r="B249" t="inlineStr">
        <is>
          <t>SDG</t>
        </is>
      </c>
    </row>
    <row r="250">
      <c r="B250" t="inlineStr">
        <is>
          <t>SDP</t>
        </is>
      </c>
    </row>
    <row r="251">
      <c r="B251" t="inlineStr">
        <is>
          <t>SRD</t>
        </is>
      </c>
    </row>
    <row r="252">
      <c r="B252" t="inlineStr">
        <is>
          <t>SRG</t>
        </is>
      </c>
    </row>
    <row r="253">
      <c r="B253" t="inlineStr">
        <is>
          <t>SZL</t>
        </is>
      </c>
    </row>
    <row r="254">
      <c r="B254" t="inlineStr">
        <is>
          <t>SEK</t>
        </is>
      </c>
    </row>
    <row r="255">
      <c r="B255" t="inlineStr">
        <is>
          <t>CHF</t>
        </is>
      </c>
    </row>
    <row r="256">
      <c r="B256" t="inlineStr">
        <is>
          <t>SYP</t>
        </is>
      </c>
    </row>
    <row r="257">
      <c r="B257" t="inlineStr">
        <is>
          <t>STN</t>
        </is>
      </c>
    </row>
    <row r="258">
      <c r="B258" t="inlineStr">
        <is>
          <t>STD</t>
        </is>
      </c>
    </row>
    <row r="259">
      <c r="B259" t="inlineStr">
        <is>
          <t>TVD</t>
        </is>
      </c>
    </row>
    <row r="260">
      <c r="B260" t="inlineStr">
        <is>
          <t>TJR</t>
        </is>
      </c>
    </row>
    <row r="261">
      <c r="B261" t="inlineStr">
        <is>
          <t>TJS</t>
        </is>
      </c>
    </row>
    <row r="262">
      <c r="B262" t="inlineStr">
        <is>
          <t>TZS</t>
        </is>
      </c>
    </row>
    <row r="263">
      <c r="B263" t="inlineStr">
        <is>
          <t>XTS</t>
        </is>
      </c>
    </row>
    <row r="264">
      <c r="B264" t="inlineStr">
        <is>
          <t>THB</t>
        </is>
      </c>
    </row>
    <row r="265">
      <c r="B265" t="inlineStr">
        <is>
          <t>TPE</t>
        </is>
      </c>
    </row>
    <row r="266">
      <c r="B266" t="inlineStr">
        <is>
          <t>TOP</t>
        </is>
      </c>
    </row>
    <row r="267">
      <c r="B267" t="inlineStr">
        <is>
          <t>TTD</t>
        </is>
      </c>
    </row>
    <row r="268">
      <c r="B268" t="inlineStr">
        <is>
          <t>TND</t>
        </is>
      </c>
    </row>
    <row r="269">
      <c r="B269" t="inlineStr">
        <is>
          <t>TRY</t>
        </is>
      </c>
    </row>
    <row r="270">
      <c r="B270" t="inlineStr">
        <is>
          <t>TRL</t>
        </is>
      </c>
    </row>
    <row r="271">
      <c r="B271" t="inlineStr">
        <is>
          <t>TMT</t>
        </is>
      </c>
    </row>
    <row r="272">
      <c r="B272" t="inlineStr">
        <is>
          <t>TMM</t>
        </is>
      </c>
    </row>
    <row r="273">
      <c r="B273" t="inlineStr">
        <is>
          <t>USD</t>
        </is>
      </c>
    </row>
    <row r="274">
      <c r="B274" t="inlineStr">
        <is>
          <t>USN</t>
        </is>
      </c>
    </row>
    <row r="275">
      <c r="B275" t="inlineStr">
        <is>
          <t>USS</t>
        </is>
      </c>
    </row>
    <row r="276">
      <c r="B276" t="inlineStr">
        <is>
          <t>UGX</t>
        </is>
      </c>
    </row>
    <row r="277">
      <c r="B277" t="inlineStr">
        <is>
          <t>UGS</t>
        </is>
      </c>
    </row>
    <row r="278">
      <c r="B278" t="inlineStr">
        <is>
          <t>UAH</t>
        </is>
      </c>
    </row>
    <row r="279">
      <c r="B279" t="inlineStr">
        <is>
          <t>UAK</t>
        </is>
      </c>
    </row>
    <row r="280">
      <c r="B280" t="inlineStr">
        <is>
          <t>AED</t>
        </is>
      </c>
    </row>
    <row r="281">
      <c r="B281" t="inlineStr">
        <is>
          <t>UYW</t>
        </is>
      </c>
    </row>
    <row r="282">
      <c r="B282" t="inlineStr">
        <is>
          <t>UYU</t>
        </is>
      </c>
    </row>
    <row r="283">
      <c r="B283" t="inlineStr">
        <is>
          <t>UYP</t>
        </is>
      </c>
    </row>
    <row r="284">
      <c r="B284" t="inlineStr">
        <is>
          <t>UYI</t>
        </is>
      </c>
    </row>
    <row r="285">
      <c r="B285" t="inlineStr">
        <is>
          <t>UZS</t>
        </is>
      </c>
    </row>
    <row r="286">
      <c r="B286" t="inlineStr">
        <is>
          <t>VUV</t>
        </is>
      </c>
    </row>
    <row r="287">
      <c r="B287" t="inlineStr">
        <is>
          <t>VES</t>
        </is>
      </c>
    </row>
    <row r="288">
      <c r="B288" t="inlineStr">
        <is>
          <t>VEB</t>
        </is>
      </c>
    </row>
    <row r="289">
      <c r="B289" t="inlineStr">
        <is>
          <t>VEF</t>
        </is>
      </c>
    </row>
    <row r="290">
      <c r="B290" t="inlineStr">
        <is>
          <t>VND</t>
        </is>
      </c>
    </row>
    <row r="291">
      <c r="B291" t="inlineStr">
        <is>
          <t>VNN</t>
        </is>
      </c>
    </row>
    <row r="292">
      <c r="B292" t="inlineStr">
        <is>
          <t>CHE</t>
        </is>
      </c>
    </row>
    <row r="293">
      <c r="B293" t="inlineStr">
        <is>
          <t>CHW</t>
        </is>
      </c>
    </row>
    <row r="294">
      <c r="B294" t="inlineStr">
        <is>
          <t>XOF</t>
        </is>
      </c>
    </row>
    <row r="295">
      <c r="B295" t="inlineStr">
        <is>
          <t>YDD</t>
        </is>
      </c>
    </row>
    <row r="296">
      <c r="B296" t="inlineStr">
        <is>
          <t>YER</t>
        </is>
      </c>
    </row>
    <row r="297">
      <c r="B297" t="inlineStr">
        <is>
          <t>YUN</t>
        </is>
      </c>
    </row>
    <row r="298">
      <c r="B298" t="inlineStr">
        <is>
          <t>YUD</t>
        </is>
      </c>
    </row>
    <row r="299">
      <c r="B299" t="inlineStr">
        <is>
          <t>YUM</t>
        </is>
      </c>
    </row>
    <row r="300">
      <c r="B300" t="inlineStr">
        <is>
          <t>YUR</t>
        </is>
      </c>
    </row>
    <row r="301">
      <c r="B301" t="inlineStr">
        <is>
          <t>ZWN</t>
        </is>
      </c>
    </row>
    <row r="302">
      <c r="B302" t="inlineStr">
        <is>
          <t>ZRN</t>
        </is>
      </c>
    </row>
    <row r="303">
      <c r="B303" t="inlineStr">
        <is>
          <t>ZRZ</t>
        </is>
      </c>
    </row>
    <row r="304">
      <c r="B304" t="inlineStr">
        <is>
          <t>ZMW</t>
        </is>
      </c>
    </row>
    <row r="305">
      <c r="B305" t="inlineStr">
        <is>
          <t>ZMK</t>
        </is>
      </c>
    </row>
    <row r="306">
      <c r="B306" t="inlineStr">
        <is>
          <t>ZWD</t>
        </is>
      </c>
    </row>
    <row r="307">
      <c r="B307" t="inlineStr">
        <is>
          <t>ZWR</t>
        </is>
      </c>
    </row>
    <row r="308">
      <c r="B308" t="inlineStr">
        <is>
          <t>ZWL</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1.2" customWidth="1" min="1" max="1"/>
    <col width="6.2" customWidth="1" min="2" max="2"/>
    <col width="46.2" customWidth="1" min="3" max="3"/>
    <col width="10.2" customWidth="1" min="4" max="4"/>
    <col width="14.2" customWidth="1" min="5" max="5"/>
    <col width="12.2" customWidth="1" min="6" max="6"/>
    <col width="29.2" customWidth="1" min="7" max="7"/>
    <col width="41.2" customWidth="1" min="8" max="8"/>
    <col width="65.2" customWidth="1" min="9" max="9"/>
  </cols>
  <sheetData>
    <row r="1" ht="32" customHeight="1">
      <c r="A1" s="1" t="inlineStr">
        <is>
          <t>legacy_id</t>
        </is>
      </c>
      <c r="B1" s="1" t="inlineStr">
        <is>
          <t>name</t>
        </is>
      </c>
      <c r="C1" s="1" t="inlineStr">
        <is>
          <t>description</t>
        </is>
      </c>
      <c r="D1" s="1" t="inlineStr">
        <is>
          <t>currency</t>
        </is>
      </c>
      <c r="E1" s="1" t="inlineStr">
        <is>
          <t>market__code</t>
        </is>
      </c>
      <c r="F1" s="1" t="inlineStr">
        <is>
          <t>legal_form</t>
        </is>
      </c>
      <c r="G1" s="1" t="inlineStr">
        <is>
          <t>cgt_asset_category_override</t>
        </is>
      </c>
      <c r="H1" s="1" t="inlineStr">
        <is>
          <t>is_taxable_australian_property_override</t>
        </is>
      </c>
      <c r="I1" s="1" t="inlineStr">
        <is>
          <t>notes</t>
        </is>
      </c>
    </row>
    <row r="2">
      <c r="B2" t="inlineStr">
        <is>
          <t>CBA</t>
        </is>
      </c>
      <c r="C2" t="inlineStr">
        <is>
          <t>Commonwealth Bank of Australia</t>
        </is>
      </c>
      <c r="D2" t="inlineStr">
        <is>
          <t>AUD</t>
        </is>
      </c>
      <c r="E2" t="inlineStr">
        <is>
          <t>ASX</t>
        </is>
      </c>
      <c r="I2" t="inlineStr">
        <is>
          <t>You might prefer to only load the instruments you intend to use</t>
        </is>
      </c>
    </row>
    <row r="3">
      <c r="B3" t="inlineStr">
        <is>
          <t>BHP</t>
        </is>
      </c>
      <c r="C3" t="inlineStr">
        <is>
          <t>BHP Group Ltd</t>
        </is>
      </c>
      <c r="D3" t="inlineStr">
        <is>
          <t>AUD</t>
        </is>
      </c>
      <c r="E3" t="inlineStr">
        <is>
          <t>ASX</t>
        </is>
      </c>
    </row>
    <row r="4">
      <c r="B4" t="inlineStr">
        <is>
          <t>WES</t>
        </is>
      </c>
      <c r="C4" t="inlineStr">
        <is>
          <t>Wesfarmers Ltd</t>
        </is>
      </c>
      <c r="D4" t="inlineStr">
        <is>
          <t>AUD</t>
        </is>
      </c>
      <c r="E4" t="inlineStr">
        <is>
          <t>ASX</t>
        </is>
      </c>
    </row>
    <row r="5">
      <c r="B5" t="inlineStr">
        <is>
          <t>TLS</t>
        </is>
      </c>
      <c r="C5" t="inlineStr">
        <is>
          <t>Telstra Group Ltd</t>
        </is>
      </c>
      <c r="D5" t="inlineStr">
        <is>
          <t>AUD</t>
        </is>
      </c>
      <c r="E5" t="inlineStr">
        <is>
          <t>ASX</t>
        </is>
      </c>
    </row>
    <row r="6">
      <c r="B6" t="inlineStr">
        <is>
          <t>VAS</t>
        </is>
      </c>
      <c r="C6" t="inlineStr">
        <is>
          <t>Vanguard Australian Shares INDEX ETF</t>
        </is>
      </c>
      <c r="D6" t="inlineStr">
        <is>
          <t>AUD</t>
        </is>
      </c>
      <c r="E6" t="inlineStr">
        <is>
          <t>ASX</t>
        </is>
      </c>
    </row>
    <row r="7">
      <c r="B7" t="inlineStr">
        <is>
          <t>VGS</t>
        </is>
      </c>
      <c r="C7" t="inlineStr">
        <is>
          <t>Vanguard MSCI INDEX International Shares ETF</t>
        </is>
      </c>
      <c r="D7" t="inlineStr">
        <is>
          <t>AUD</t>
        </is>
      </c>
      <c r="E7" t="inlineStr">
        <is>
          <t>ASX</t>
        </is>
      </c>
    </row>
    <row r="8">
      <c r="B8" t="inlineStr">
        <is>
          <t>A200</t>
        </is>
      </c>
      <c r="C8" t="inlineStr">
        <is>
          <t>Betashares Australia 200 ETF</t>
        </is>
      </c>
      <c r="D8" t="inlineStr">
        <is>
          <t>AUD</t>
        </is>
      </c>
      <c r="E8" t="inlineStr">
        <is>
          <t>ASX</t>
        </is>
      </c>
    </row>
    <row r="9">
      <c r="B9" t="inlineStr">
        <is>
          <t>MSFT</t>
        </is>
      </c>
      <c r="C9" t="inlineStr">
        <is>
          <t>Microsoft Corp</t>
        </is>
      </c>
      <c r="D9" t="inlineStr">
        <is>
          <t>USD</t>
        </is>
      </c>
      <c r="E9" t="inlineStr">
        <is>
          <t>NASDAQ</t>
        </is>
      </c>
    </row>
    <row r="10">
      <c r="B10" t="inlineStr">
        <is>
          <t>AMZN</t>
        </is>
      </c>
      <c r="C10" t="inlineStr">
        <is>
          <t>Amazon.com Inc</t>
        </is>
      </c>
      <c r="D10" t="inlineStr">
        <is>
          <t>USD</t>
        </is>
      </c>
      <c r="E10" t="inlineStr">
        <is>
          <t>NASDAQ</t>
        </is>
      </c>
    </row>
    <row r="11">
      <c r="B11" t="inlineStr">
        <is>
          <t>AAPL</t>
        </is>
      </c>
      <c r="C11" t="inlineStr">
        <is>
          <t>Apple Inc</t>
        </is>
      </c>
      <c r="D11" t="inlineStr">
        <is>
          <t>USD</t>
        </is>
      </c>
      <c r="E11" t="inlineStr">
        <is>
          <t>NASDAQ</t>
        </is>
      </c>
    </row>
  </sheetData>
  <dataValidations count="4">
    <dataValidation sqref="D2:D511" showDropDown="0" showInputMessage="0" showErrorMessage="1" allowBlank="1" errorTitle="Not an allowed value" error="Pick a value for currency from the list." type="list">
      <formula1>'ValueAssistance'!$B$2:$B$308</formula1>
    </dataValidation>
    <dataValidation sqref="F2:F511" showDropDown="0" showInputMessage="0" showErrorMessage="1" allowBlank="1" errorTitle="Not an allowed value" error="Pick a value for legal_form from the list." type="list">
      <formula1>'ValueAssistance'!$C$2:$C$10</formula1>
    </dataValidation>
    <dataValidation sqref="G2:G511" showDropDown="0" showInputMessage="0" showErrorMessage="1" allowBlank="1" errorTitle="Not an allowed value" error="Pick a value for cgt_asset_category_override from the list." type="list">
      <formula1>'ValueAssistance'!$D$2:$D$9</formula1>
    </dataValidation>
    <dataValidation sqref="H2:H511" showDropDown="0" showInputMessage="0" showErrorMessage="1" allowBlank="1" errorTitle="Not an allowed value" error="Pick a value for is_taxable_australian_property_override from the list." type="list">
      <formula1>'ValueAssistance'!$A$2:$A$3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48"/>
  <sheetViews>
    <sheetView workbookViewId="0">
      <pane ySplit="1" topLeftCell="A2" activePane="bottomLeft" state="frozen"/>
      <selection pane="bottomLeft" activeCell="A1" sqref="A1"/>
    </sheetView>
  </sheetViews>
  <sheetFormatPr baseColWidth="8" defaultRowHeight="15"/>
  <cols>
    <col width="11.2" customWidth="1" min="1" max="1"/>
    <col width="18.2" customWidth="1" min="2" max="2"/>
    <col width="12.2" customWidth="1" min="3" max="3"/>
    <col width="10.2" customWidth="1" min="4" max="4"/>
    <col width="12.2" customWidth="1" min="5" max="5"/>
    <col width="21.2" customWidth="1" min="6" max="6"/>
    <col width="17.2" customWidth="1" min="7" max="7"/>
    <col width="26.2" customWidth="1" min="8" max="8"/>
    <col width="34.2" customWidth="1" min="9" max="9"/>
    <col width="63.2" customWidth="1" min="10" max="10"/>
  </cols>
  <sheetData>
    <row r="1" ht="32" customHeight="1">
      <c r="A1" s="1" t="inlineStr">
        <is>
          <t>legacy_id</t>
        </is>
      </c>
      <c r="B1" s="1" t="inlineStr">
        <is>
          <t>instrument__name</t>
        </is>
      </c>
      <c r="C1" s="1" t="inlineStr">
        <is>
          <t>date</t>
        </is>
      </c>
      <c r="D1" s="1" t="inlineStr">
        <is>
          <t>quantity</t>
        </is>
      </c>
      <c r="E1" s="1" t="inlineStr">
        <is>
          <t>unit_price</t>
        </is>
      </c>
      <c r="F1" s="1" t="inlineStr">
        <is>
          <t>unit_price_currency</t>
        </is>
      </c>
      <c r="G1" s="1" t="inlineStr">
        <is>
          <t>total_brokerage</t>
        </is>
      </c>
      <c r="H1" s="1" t="inlineStr">
        <is>
          <t>total_brokerage_currency</t>
        </is>
      </c>
      <c r="I1" s="1" t="inlineStr">
        <is>
          <t>file</t>
        </is>
      </c>
      <c r="J1" s="1" t="inlineStr">
        <is>
          <t>notes</t>
        </is>
      </c>
    </row>
    <row r="2">
      <c r="A2" t="inlineStr">
        <is>
          <t>B001</t>
        </is>
      </c>
      <c r="B2" t="inlineStr">
        <is>
          <t>VAS</t>
        </is>
      </c>
      <c r="C2" s="5" t="n">
        <v>42646</v>
      </c>
      <c r="D2" t="n">
        <v>14</v>
      </c>
      <c r="E2" t="n">
        <v>70.75</v>
      </c>
      <c r="F2" t="inlineStr">
        <is>
          <t>AUD</t>
        </is>
      </c>
      <c r="G2" t="n">
        <v>9.5</v>
      </c>
      <c r="H2" t="inlineStr">
        <is>
          <t>AUD</t>
        </is>
      </c>
      <c r="I2" t="inlineStr">
        <is>
          <t>C:\full_path_to_file\buy-001.pdf</t>
        </is>
      </c>
      <c r="J2" t="inlineStr">
        <is>
          <t>FAKE DATA - generated for demonstration, not a real portfolio</t>
        </is>
      </c>
    </row>
    <row r="3">
      <c r="A3" t="inlineStr">
        <is>
          <t>B002</t>
        </is>
      </c>
      <c r="B3" t="inlineStr">
        <is>
          <t>VGS</t>
        </is>
      </c>
      <c r="C3" s="5" t="n">
        <v>42646</v>
      </c>
      <c r="D3" t="n">
        <v>22</v>
      </c>
      <c r="E3" t="n">
        <v>55.95</v>
      </c>
      <c r="F3" t="inlineStr">
        <is>
          <t>AUD</t>
        </is>
      </c>
      <c r="G3" t="n">
        <v>9.5</v>
      </c>
      <c r="H3" t="inlineStr">
        <is>
          <t>AUD</t>
        </is>
      </c>
    </row>
    <row r="4">
      <c r="A4" t="inlineStr">
        <is>
          <t>B003</t>
        </is>
      </c>
      <c r="B4" t="inlineStr">
        <is>
          <t>VAS</t>
        </is>
      </c>
      <c r="C4" s="5" t="n">
        <v>42676</v>
      </c>
      <c r="D4" t="n">
        <v>24</v>
      </c>
      <c r="E4" t="n">
        <v>66.45</v>
      </c>
      <c r="F4" t="inlineStr">
        <is>
          <t>AUD</t>
        </is>
      </c>
      <c r="G4" t="n">
        <v>9.5</v>
      </c>
      <c r="H4" t="inlineStr">
        <is>
          <t>AUD</t>
        </is>
      </c>
    </row>
    <row r="5">
      <c r="A5" t="inlineStr">
        <is>
          <t>B004</t>
        </is>
      </c>
      <c r="B5" t="inlineStr">
        <is>
          <t>VGS</t>
        </is>
      </c>
      <c r="C5" s="5" t="n">
        <v>42676</v>
      </c>
      <c r="D5" t="n">
        <v>37</v>
      </c>
      <c r="E5" t="n">
        <v>54.19</v>
      </c>
      <c r="F5" t="inlineStr">
        <is>
          <t>AUD</t>
        </is>
      </c>
      <c r="G5" t="n">
        <v>9.5</v>
      </c>
      <c r="H5" t="inlineStr">
        <is>
          <t>AUD</t>
        </is>
      </c>
    </row>
    <row r="6">
      <c r="A6" t="inlineStr">
        <is>
          <t>B005</t>
        </is>
      </c>
      <c r="B6" t="inlineStr">
        <is>
          <t>VAS</t>
        </is>
      </c>
      <c r="C6" s="5" t="n">
        <v>42710</v>
      </c>
      <c r="D6" t="n">
        <v>18</v>
      </c>
      <c r="E6" t="n">
        <v>69.38</v>
      </c>
      <c r="F6" t="inlineStr">
        <is>
          <t>AUD</t>
        </is>
      </c>
      <c r="G6" t="n">
        <v>9.5</v>
      </c>
      <c r="H6" t="inlineStr">
        <is>
          <t>AUD</t>
        </is>
      </c>
    </row>
    <row r="7">
      <c r="A7" t="inlineStr">
        <is>
          <t>B006</t>
        </is>
      </c>
      <c r="B7" t="inlineStr">
        <is>
          <t>VGS</t>
        </is>
      </c>
      <c r="C7" s="5" t="n">
        <v>42710</v>
      </c>
      <c r="D7" t="n">
        <v>27</v>
      </c>
      <c r="E7" t="n">
        <v>57.06</v>
      </c>
      <c r="F7" t="inlineStr">
        <is>
          <t>AUD</t>
        </is>
      </c>
      <c r="G7" t="n">
        <v>9.5</v>
      </c>
      <c r="H7" t="inlineStr">
        <is>
          <t>AUD</t>
        </is>
      </c>
    </row>
    <row r="8">
      <c r="A8" t="inlineStr">
        <is>
          <t>B007</t>
        </is>
      </c>
      <c r="B8" t="inlineStr">
        <is>
          <t>TLS</t>
        </is>
      </c>
      <c r="C8" s="5" t="n">
        <v>42716</v>
      </c>
      <c r="D8" t="n">
        <v>195</v>
      </c>
      <c r="E8" t="n">
        <v>4.95</v>
      </c>
      <c r="F8" t="inlineStr">
        <is>
          <t>AUD</t>
        </is>
      </c>
      <c r="G8" t="n">
        <v>19.95</v>
      </c>
      <c r="H8" t="inlineStr">
        <is>
          <t>AUD</t>
        </is>
      </c>
    </row>
    <row r="9">
      <c r="A9" t="inlineStr">
        <is>
          <t>B008</t>
        </is>
      </c>
      <c r="B9" t="inlineStr">
        <is>
          <t>VAS</t>
        </is>
      </c>
      <c r="C9" s="5" t="n">
        <v>42741</v>
      </c>
      <c r="D9" t="n">
        <v>21</v>
      </c>
      <c r="E9" t="n">
        <v>72.68000000000001</v>
      </c>
      <c r="F9" t="inlineStr">
        <is>
          <t>AUD</t>
        </is>
      </c>
      <c r="G9" t="n">
        <v>9.5</v>
      </c>
      <c r="H9" t="inlineStr">
        <is>
          <t>AUD</t>
        </is>
      </c>
    </row>
    <row r="10">
      <c r="A10" t="inlineStr">
        <is>
          <t>B009</t>
        </is>
      </c>
      <c r="B10" t="inlineStr">
        <is>
          <t>VGS</t>
        </is>
      </c>
      <c r="C10" s="5" t="n">
        <v>42741</v>
      </c>
      <c r="D10" t="n">
        <v>32</v>
      </c>
      <c r="E10" t="n">
        <v>59.89</v>
      </c>
      <c r="F10" t="inlineStr">
        <is>
          <t>AUD</t>
        </is>
      </c>
      <c r="G10" t="n">
        <v>9.5</v>
      </c>
      <c r="H10" t="inlineStr">
        <is>
          <t>AUD</t>
        </is>
      </c>
    </row>
    <row r="11">
      <c r="A11" t="inlineStr">
        <is>
          <t>B010</t>
        </is>
      </c>
      <c r="B11" t="inlineStr">
        <is>
          <t>AMZN</t>
        </is>
      </c>
      <c r="C11" s="5" t="n">
        <v>42755</v>
      </c>
      <c r="D11" t="n">
        <v>1</v>
      </c>
      <c r="E11" t="n">
        <v>808.33</v>
      </c>
      <c r="F11" t="inlineStr">
        <is>
          <t>USD</t>
        </is>
      </c>
      <c r="G11" t="n">
        <v>5</v>
      </c>
      <c r="H11" t="inlineStr">
        <is>
          <t>USD</t>
        </is>
      </c>
    </row>
    <row r="12">
      <c r="A12" t="inlineStr">
        <is>
          <t>B011</t>
        </is>
      </c>
      <c r="B12" t="inlineStr">
        <is>
          <t>VAS</t>
        </is>
      </c>
      <c r="C12" s="5" t="n">
        <v>42772</v>
      </c>
      <c r="D12" t="n">
        <v>20</v>
      </c>
      <c r="E12" t="n">
        <v>70.93000000000001</v>
      </c>
      <c r="F12" t="inlineStr">
        <is>
          <t>AUD</t>
        </is>
      </c>
      <c r="G12" t="n">
        <v>9.5</v>
      </c>
      <c r="H12" t="inlineStr">
        <is>
          <t>AUD</t>
        </is>
      </c>
    </row>
    <row r="13">
      <c r="A13" t="inlineStr">
        <is>
          <t>B012</t>
        </is>
      </c>
      <c r="B13" t="inlineStr">
        <is>
          <t>VGS</t>
        </is>
      </c>
      <c r="C13" s="5" t="n">
        <v>42772</v>
      </c>
      <c r="D13" t="n">
        <v>30</v>
      </c>
      <c r="E13" t="n">
        <v>57.95</v>
      </c>
      <c r="F13" t="inlineStr">
        <is>
          <t>AUD</t>
        </is>
      </c>
      <c r="G13" t="n">
        <v>9.5</v>
      </c>
      <c r="H13" t="inlineStr">
        <is>
          <t>AUD</t>
        </is>
      </c>
    </row>
    <row r="14">
      <c r="A14" t="inlineStr">
        <is>
          <t>B013</t>
        </is>
      </c>
      <c r="B14" t="inlineStr">
        <is>
          <t>VAS</t>
        </is>
      </c>
      <c r="C14" s="5" t="n">
        <v>42797</v>
      </c>
      <c r="D14" t="n">
        <v>8</v>
      </c>
      <c r="E14" t="n">
        <v>72.94</v>
      </c>
      <c r="F14" t="inlineStr">
        <is>
          <t>AUD</t>
        </is>
      </c>
      <c r="G14" t="n">
        <v>9.5</v>
      </c>
      <c r="H14" t="inlineStr">
        <is>
          <t>AUD</t>
        </is>
      </c>
    </row>
    <row r="15">
      <c r="A15" t="inlineStr">
        <is>
          <t>B014</t>
        </is>
      </c>
      <c r="B15" t="inlineStr">
        <is>
          <t>VGS</t>
        </is>
      </c>
      <c r="C15" s="5" t="n">
        <v>42797</v>
      </c>
      <c r="D15" t="n">
        <v>12</v>
      </c>
      <c r="E15" t="n">
        <v>60</v>
      </c>
      <c r="F15" t="inlineStr">
        <is>
          <t>AUD</t>
        </is>
      </c>
      <c r="G15" t="n">
        <v>9.5</v>
      </c>
      <c r="H15" t="inlineStr">
        <is>
          <t>AUD</t>
        </is>
      </c>
    </row>
    <row r="16">
      <c r="A16" t="inlineStr">
        <is>
          <t>B015</t>
        </is>
      </c>
      <c r="B16" t="inlineStr">
        <is>
          <t>AAPL</t>
        </is>
      </c>
      <c r="C16" s="5" t="n">
        <v>42800</v>
      </c>
      <c r="D16" t="n">
        <v>4</v>
      </c>
      <c r="E16" t="n">
        <v>139.34</v>
      </c>
      <c r="F16" t="inlineStr">
        <is>
          <t>USD</t>
        </is>
      </c>
      <c r="G16" t="n">
        <v>5</v>
      </c>
      <c r="H16" t="inlineStr">
        <is>
          <t>USD</t>
        </is>
      </c>
    </row>
    <row r="17">
      <c r="A17" t="inlineStr">
        <is>
          <t>B016</t>
        </is>
      </c>
      <c r="B17" t="inlineStr">
        <is>
          <t>CBA</t>
        </is>
      </c>
      <c r="C17" s="5" t="n">
        <v>42811</v>
      </c>
      <c r="D17" t="n">
        <v>10</v>
      </c>
      <c r="E17" t="n">
        <v>84.77</v>
      </c>
      <c r="F17" t="inlineStr">
        <is>
          <t>AUD</t>
        </is>
      </c>
      <c r="G17" t="n">
        <v>19.95</v>
      </c>
      <c r="H17" t="inlineStr">
        <is>
          <t>AUD</t>
        </is>
      </c>
    </row>
    <row r="18">
      <c r="A18" t="inlineStr">
        <is>
          <t>B017</t>
        </is>
      </c>
      <c r="B18" t="inlineStr">
        <is>
          <t>VAS</t>
        </is>
      </c>
      <c r="C18" s="5" t="n">
        <v>42829</v>
      </c>
      <c r="D18" t="n">
        <v>19</v>
      </c>
      <c r="E18" t="n">
        <v>74.31</v>
      </c>
      <c r="F18" t="inlineStr">
        <is>
          <t>AUD</t>
        </is>
      </c>
      <c r="G18" t="n">
        <v>9.5</v>
      </c>
      <c r="H18" t="inlineStr">
        <is>
          <t>AUD</t>
        </is>
      </c>
    </row>
    <row r="19">
      <c r="A19" t="inlineStr">
        <is>
          <t>B018</t>
        </is>
      </c>
      <c r="B19" t="inlineStr">
        <is>
          <t>VGS</t>
        </is>
      </c>
      <c r="C19" s="5" t="n">
        <v>42829</v>
      </c>
      <c r="D19" t="n">
        <v>30</v>
      </c>
      <c r="E19" t="n">
        <v>59.99</v>
      </c>
      <c r="F19" t="inlineStr">
        <is>
          <t>AUD</t>
        </is>
      </c>
      <c r="G19" t="n">
        <v>9.5</v>
      </c>
      <c r="H19" t="inlineStr">
        <is>
          <t>AUD</t>
        </is>
      </c>
    </row>
    <row r="20">
      <c r="A20" t="inlineStr">
        <is>
          <t>B019</t>
        </is>
      </c>
      <c r="B20" t="inlineStr">
        <is>
          <t>MSFT</t>
        </is>
      </c>
      <c r="C20" s="5" t="n">
        <v>42859</v>
      </c>
      <c r="D20" t="n">
        <v>14</v>
      </c>
      <c r="E20" t="n">
        <v>68.81</v>
      </c>
      <c r="F20" t="inlineStr">
        <is>
          <t>USD</t>
        </is>
      </c>
      <c r="G20" t="n">
        <v>5</v>
      </c>
      <c r="H20" t="inlineStr">
        <is>
          <t>USD</t>
        </is>
      </c>
    </row>
    <row r="21">
      <c r="A21" t="inlineStr">
        <is>
          <t>B020</t>
        </is>
      </c>
      <c r="B21" t="inlineStr">
        <is>
          <t>VAS</t>
        </is>
      </c>
      <c r="C21" s="5" t="n">
        <v>42860</v>
      </c>
      <c r="D21" t="n">
        <v>17</v>
      </c>
      <c r="E21" t="n">
        <v>74.29000000000001</v>
      </c>
      <c r="F21" t="inlineStr">
        <is>
          <t>AUD</t>
        </is>
      </c>
      <c r="G21" t="n">
        <v>9.5</v>
      </c>
      <c r="H21" t="inlineStr">
        <is>
          <t>AUD</t>
        </is>
      </c>
    </row>
    <row r="22">
      <c r="A22" t="inlineStr">
        <is>
          <t>B021</t>
        </is>
      </c>
      <c r="B22" t="inlineStr">
        <is>
          <t>VGS</t>
        </is>
      </c>
      <c r="C22" s="5" t="n">
        <v>42860</v>
      </c>
      <c r="D22" t="n">
        <v>25</v>
      </c>
      <c r="E22" t="n">
        <v>63.02</v>
      </c>
      <c r="F22" t="inlineStr">
        <is>
          <t>AUD</t>
        </is>
      </c>
      <c r="G22" t="n">
        <v>9.5</v>
      </c>
      <c r="H22" t="inlineStr">
        <is>
          <t>AUD</t>
        </is>
      </c>
    </row>
    <row r="23">
      <c r="A23" t="inlineStr">
        <is>
          <t>B022</t>
        </is>
      </c>
      <c r="B23" t="inlineStr">
        <is>
          <t>TLS</t>
        </is>
      </c>
      <c r="C23" s="5" t="n">
        <v>42870</v>
      </c>
      <c r="D23" t="n">
        <v>299</v>
      </c>
      <c r="E23" t="n">
        <v>4.4</v>
      </c>
      <c r="F23" t="inlineStr">
        <is>
          <t>AUD</t>
        </is>
      </c>
      <c r="G23" t="n">
        <v>19.95</v>
      </c>
      <c r="H23" t="inlineStr">
        <is>
          <t>AUD</t>
        </is>
      </c>
    </row>
    <row r="24">
      <c r="A24" t="inlineStr">
        <is>
          <t>B023</t>
        </is>
      </c>
      <c r="B24" t="inlineStr">
        <is>
          <t>AAPL</t>
        </is>
      </c>
      <c r="C24" s="5" t="n">
        <v>42877</v>
      </c>
      <c r="D24" t="n">
        <v>6</v>
      </c>
      <c r="E24" t="n">
        <v>153.99</v>
      </c>
      <c r="F24" t="inlineStr">
        <is>
          <t>USD</t>
        </is>
      </c>
      <c r="G24" t="n">
        <v>5</v>
      </c>
      <c r="H24" t="inlineStr">
        <is>
          <t>USD</t>
        </is>
      </c>
    </row>
    <row r="25">
      <c r="A25" t="inlineStr">
        <is>
          <t>B024</t>
        </is>
      </c>
      <c r="B25" t="inlineStr">
        <is>
          <t>VAS</t>
        </is>
      </c>
      <c r="C25" s="5" t="n">
        <v>42891</v>
      </c>
      <c r="D25" t="n">
        <v>14</v>
      </c>
      <c r="E25" t="n">
        <v>73.47</v>
      </c>
      <c r="F25" t="inlineStr">
        <is>
          <t>AUD</t>
        </is>
      </c>
      <c r="G25" t="n">
        <v>9.5</v>
      </c>
      <c r="H25" t="inlineStr">
        <is>
          <t>AUD</t>
        </is>
      </c>
    </row>
    <row r="26">
      <c r="A26" t="inlineStr">
        <is>
          <t>B025</t>
        </is>
      </c>
      <c r="B26" t="inlineStr">
        <is>
          <t>VGS</t>
        </is>
      </c>
      <c r="C26" s="5" t="n">
        <v>42891</v>
      </c>
      <c r="D26" t="n">
        <v>20</v>
      </c>
      <c r="E26" t="n">
        <v>64.25</v>
      </c>
      <c r="F26" t="inlineStr">
        <is>
          <t>AUD</t>
        </is>
      </c>
      <c r="G26" t="n">
        <v>9.5</v>
      </c>
      <c r="H26" t="inlineStr">
        <is>
          <t>AUD</t>
        </is>
      </c>
    </row>
    <row r="27">
      <c r="A27" t="inlineStr">
        <is>
          <t>B026</t>
        </is>
      </c>
      <c r="B27" t="inlineStr">
        <is>
          <t>AAPL</t>
        </is>
      </c>
      <c r="C27" s="5" t="n">
        <v>42908</v>
      </c>
      <c r="D27" t="n">
        <v>4</v>
      </c>
      <c r="E27" t="n">
        <v>145.63</v>
      </c>
      <c r="F27" t="inlineStr">
        <is>
          <t>USD</t>
        </is>
      </c>
      <c r="G27" t="n">
        <v>5</v>
      </c>
      <c r="H27" t="inlineStr">
        <is>
          <t>USD</t>
        </is>
      </c>
    </row>
    <row r="28">
      <c r="A28" t="inlineStr">
        <is>
          <t>B027</t>
        </is>
      </c>
      <c r="B28" t="inlineStr">
        <is>
          <t>VAS</t>
        </is>
      </c>
      <c r="C28" s="5" t="n">
        <v>42920</v>
      </c>
      <c r="D28" t="n">
        <v>21</v>
      </c>
      <c r="E28" t="n">
        <v>73.59</v>
      </c>
      <c r="F28" t="inlineStr">
        <is>
          <t>AUD</t>
        </is>
      </c>
      <c r="G28" t="n">
        <v>9.5</v>
      </c>
      <c r="H28" t="inlineStr">
        <is>
          <t>AUD</t>
        </is>
      </c>
    </row>
    <row r="29">
      <c r="A29" t="inlineStr">
        <is>
          <t>B028</t>
        </is>
      </c>
      <c r="B29" t="inlineStr">
        <is>
          <t>VGS</t>
        </is>
      </c>
      <c r="C29" s="5" t="n">
        <v>42920</v>
      </c>
      <c r="D29" t="n">
        <v>31</v>
      </c>
      <c r="E29" t="n">
        <v>61.5</v>
      </c>
      <c r="F29" t="inlineStr">
        <is>
          <t>AUD</t>
        </is>
      </c>
      <c r="G29" t="n">
        <v>9.5</v>
      </c>
      <c r="H29" t="inlineStr">
        <is>
          <t>AUD</t>
        </is>
      </c>
    </row>
    <row r="30">
      <c r="A30" t="inlineStr">
        <is>
          <t>B029</t>
        </is>
      </c>
      <c r="B30" t="inlineStr">
        <is>
          <t>MSFT</t>
        </is>
      </c>
      <c r="C30" s="5" t="n">
        <v>42926</v>
      </c>
      <c r="D30" t="n">
        <v>9</v>
      </c>
      <c r="E30" t="n">
        <v>69.98</v>
      </c>
      <c r="F30" t="inlineStr">
        <is>
          <t>USD</t>
        </is>
      </c>
      <c r="G30" t="n">
        <v>5</v>
      </c>
      <c r="H30" t="inlineStr">
        <is>
          <t>USD</t>
        </is>
      </c>
    </row>
    <row r="31">
      <c r="A31" t="inlineStr">
        <is>
          <t>B030</t>
        </is>
      </c>
      <c r="B31" t="inlineStr">
        <is>
          <t>MSFT</t>
        </is>
      </c>
      <c r="C31" s="5" t="n">
        <v>42944</v>
      </c>
      <c r="D31" t="n">
        <v>7</v>
      </c>
      <c r="E31" t="n">
        <v>73.04000000000001</v>
      </c>
      <c r="F31" t="inlineStr">
        <is>
          <t>USD</t>
        </is>
      </c>
      <c r="G31" t="n">
        <v>5</v>
      </c>
      <c r="H31" t="inlineStr">
        <is>
          <t>USD</t>
        </is>
      </c>
    </row>
    <row r="32">
      <c r="A32" t="inlineStr">
        <is>
          <t>B031</t>
        </is>
      </c>
      <c r="B32" t="inlineStr">
        <is>
          <t>VAS</t>
        </is>
      </c>
      <c r="C32" s="5" t="n">
        <v>42954</v>
      </c>
      <c r="D32" t="n">
        <v>18</v>
      </c>
      <c r="E32" t="n">
        <v>73.45</v>
      </c>
      <c r="F32" t="inlineStr">
        <is>
          <t>AUD</t>
        </is>
      </c>
      <c r="G32" t="n">
        <v>9.5</v>
      </c>
      <c r="H32" t="inlineStr">
        <is>
          <t>AUD</t>
        </is>
      </c>
    </row>
    <row r="33">
      <c r="A33" t="inlineStr">
        <is>
          <t>B032</t>
        </is>
      </c>
      <c r="B33" t="inlineStr">
        <is>
          <t>VGS</t>
        </is>
      </c>
      <c r="C33" s="5" t="n">
        <v>42954</v>
      </c>
      <c r="D33" t="n">
        <v>27</v>
      </c>
      <c r="E33" t="n">
        <v>61</v>
      </c>
      <c r="F33" t="inlineStr">
        <is>
          <t>AUD</t>
        </is>
      </c>
      <c r="G33" t="n">
        <v>9.5</v>
      </c>
      <c r="H33" t="inlineStr">
        <is>
          <t>AUD</t>
        </is>
      </c>
    </row>
    <row r="34">
      <c r="A34" t="inlineStr">
        <is>
          <t>B033</t>
        </is>
      </c>
      <c r="B34" t="inlineStr">
        <is>
          <t>VAS</t>
        </is>
      </c>
      <c r="C34" s="5" t="n">
        <v>42982</v>
      </c>
      <c r="D34" t="n">
        <v>16</v>
      </c>
      <c r="E34" t="n">
        <v>73.25</v>
      </c>
      <c r="F34" t="inlineStr">
        <is>
          <t>AUD</t>
        </is>
      </c>
      <c r="G34" t="n">
        <v>9.5</v>
      </c>
      <c r="H34" t="inlineStr">
        <is>
          <t>AUD</t>
        </is>
      </c>
    </row>
    <row r="35">
      <c r="A35" t="inlineStr">
        <is>
          <t>B034</t>
        </is>
      </c>
      <c r="B35" t="inlineStr">
        <is>
          <t>VGS</t>
        </is>
      </c>
      <c r="C35" s="5" t="n">
        <v>42982</v>
      </c>
      <c r="D35" t="n">
        <v>24</v>
      </c>
      <c r="E35" t="n">
        <v>60.14</v>
      </c>
      <c r="F35" t="inlineStr">
        <is>
          <t>AUD</t>
        </is>
      </c>
      <c r="G35" t="n">
        <v>9.5</v>
      </c>
      <c r="H35" t="inlineStr">
        <is>
          <t>AUD</t>
        </is>
      </c>
    </row>
    <row r="36">
      <c r="A36" t="inlineStr">
        <is>
          <t>B035</t>
        </is>
      </c>
      <c r="B36" t="inlineStr">
        <is>
          <t>AMZN</t>
        </is>
      </c>
      <c r="C36" s="5" t="n">
        <v>43004</v>
      </c>
      <c r="D36" t="n">
        <v>1</v>
      </c>
      <c r="E36" t="n">
        <v>938.6</v>
      </c>
      <c r="F36" t="inlineStr">
        <is>
          <t>USD</t>
        </is>
      </c>
      <c r="G36" t="n">
        <v>5</v>
      </c>
      <c r="H36" t="inlineStr">
        <is>
          <t>USD</t>
        </is>
      </c>
    </row>
    <row r="37">
      <c r="A37" t="inlineStr">
        <is>
          <t>B036</t>
        </is>
      </c>
      <c r="B37" t="inlineStr">
        <is>
          <t>VAS</t>
        </is>
      </c>
      <c r="C37" s="5" t="n">
        <v>43013</v>
      </c>
      <c r="D37" t="n">
        <v>11</v>
      </c>
      <c r="E37" t="n">
        <v>72.06999999999999</v>
      </c>
      <c r="F37" t="inlineStr">
        <is>
          <t>AUD</t>
        </is>
      </c>
      <c r="G37" t="n">
        <v>9.5</v>
      </c>
      <c r="H37" t="inlineStr">
        <is>
          <t>AUD</t>
        </is>
      </c>
    </row>
    <row r="38">
      <c r="A38" t="inlineStr">
        <is>
          <t>B037</t>
        </is>
      </c>
      <c r="B38" t="inlineStr">
        <is>
          <t>VGS</t>
        </is>
      </c>
      <c r="C38" s="5" t="n">
        <v>43013</v>
      </c>
      <c r="D38" t="n">
        <v>15</v>
      </c>
      <c r="E38" t="n">
        <v>62.68</v>
      </c>
      <c r="F38" t="inlineStr">
        <is>
          <t>AUD</t>
        </is>
      </c>
      <c r="G38" t="n">
        <v>9.5</v>
      </c>
      <c r="H38" t="inlineStr">
        <is>
          <t>AUD</t>
        </is>
      </c>
    </row>
    <row r="39">
      <c r="A39" t="inlineStr">
        <is>
          <t>B038</t>
        </is>
      </c>
      <c r="B39" t="inlineStr">
        <is>
          <t>MSFT</t>
        </is>
      </c>
      <c r="C39" s="5" t="n">
        <v>43027</v>
      </c>
      <c r="D39" t="n">
        <v>8</v>
      </c>
      <c r="E39" t="n">
        <v>77.91</v>
      </c>
      <c r="F39" t="inlineStr">
        <is>
          <t>USD</t>
        </is>
      </c>
      <c r="G39" t="n">
        <v>5</v>
      </c>
      <c r="H39" t="inlineStr">
        <is>
          <t>USD</t>
        </is>
      </c>
    </row>
    <row r="40">
      <c r="A40" t="inlineStr">
        <is>
          <t>B039</t>
        </is>
      </c>
      <c r="B40" t="inlineStr">
        <is>
          <t>VAS</t>
        </is>
      </c>
      <c r="C40" s="5" t="n">
        <v>43045</v>
      </c>
      <c r="D40" t="n">
        <v>13</v>
      </c>
      <c r="E40" t="n">
        <v>75.83</v>
      </c>
      <c r="F40" t="inlineStr">
        <is>
          <t>AUD</t>
        </is>
      </c>
      <c r="G40" t="n">
        <v>9.5</v>
      </c>
      <c r="H40" t="inlineStr">
        <is>
          <t>AUD</t>
        </is>
      </c>
    </row>
    <row r="41">
      <c r="A41" t="inlineStr">
        <is>
          <t>B040</t>
        </is>
      </c>
      <c r="B41" t="inlineStr">
        <is>
          <t>VGS</t>
        </is>
      </c>
      <c r="C41" s="5" t="n">
        <v>43045</v>
      </c>
      <c r="D41" t="n">
        <v>19</v>
      </c>
      <c r="E41" t="n">
        <v>65.08</v>
      </c>
      <c r="F41" t="inlineStr">
        <is>
          <t>AUD</t>
        </is>
      </c>
      <c r="G41" t="n">
        <v>9.5</v>
      </c>
      <c r="H41" t="inlineStr">
        <is>
          <t>AUD</t>
        </is>
      </c>
    </row>
    <row r="42">
      <c r="A42" t="inlineStr">
        <is>
          <t>B041</t>
        </is>
      </c>
      <c r="B42" t="inlineStr">
        <is>
          <t>VAS</t>
        </is>
      </c>
      <c r="C42" s="5" t="n">
        <v>43073</v>
      </c>
      <c r="D42" t="n">
        <v>13</v>
      </c>
      <c r="E42" t="n">
        <v>76.75</v>
      </c>
      <c r="F42" t="inlineStr">
        <is>
          <t>AUD</t>
        </is>
      </c>
      <c r="G42" t="n">
        <v>9.5</v>
      </c>
      <c r="H42" t="inlineStr">
        <is>
          <t>AUD</t>
        </is>
      </c>
    </row>
    <row r="43">
      <c r="A43" t="inlineStr">
        <is>
          <t>B042</t>
        </is>
      </c>
      <c r="B43" t="inlineStr">
        <is>
          <t>VGS</t>
        </is>
      </c>
      <c r="C43" s="5" t="n">
        <v>43073</v>
      </c>
      <c r="D43" t="n">
        <v>18</v>
      </c>
      <c r="E43" t="n">
        <v>67.11</v>
      </c>
      <c r="F43" t="inlineStr">
        <is>
          <t>AUD</t>
        </is>
      </c>
      <c r="G43" t="n">
        <v>9.5</v>
      </c>
      <c r="H43" t="inlineStr">
        <is>
          <t>AUD</t>
        </is>
      </c>
    </row>
    <row r="44">
      <c r="A44" t="inlineStr">
        <is>
          <t>B043</t>
        </is>
      </c>
      <c r="B44" t="inlineStr">
        <is>
          <t>VAS</t>
        </is>
      </c>
      <c r="C44" s="5" t="n">
        <v>43105</v>
      </c>
      <c r="D44" t="n">
        <v>20</v>
      </c>
      <c r="E44" t="n">
        <v>77.95999999999999</v>
      </c>
      <c r="F44" t="inlineStr">
        <is>
          <t>AUD</t>
        </is>
      </c>
      <c r="G44" t="n">
        <v>9.5</v>
      </c>
      <c r="H44" t="inlineStr">
        <is>
          <t>AUD</t>
        </is>
      </c>
    </row>
    <row r="45">
      <c r="A45" t="inlineStr">
        <is>
          <t>B044</t>
        </is>
      </c>
      <c r="B45" t="inlineStr">
        <is>
          <t>VGS</t>
        </is>
      </c>
      <c r="C45" s="5" t="n">
        <v>43105</v>
      </c>
      <c r="D45" t="n">
        <v>28</v>
      </c>
      <c r="E45" t="n">
        <v>66.61</v>
      </c>
      <c r="F45" t="inlineStr">
        <is>
          <t>AUD</t>
        </is>
      </c>
      <c r="G45" t="n">
        <v>9.5</v>
      </c>
      <c r="H45" t="inlineStr">
        <is>
          <t>AUD</t>
        </is>
      </c>
    </row>
    <row r="46">
      <c r="A46" t="inlineStr">
        <is>
          <t>B045</t>
        </is>
      </c>
      <c r="B46" t="inlineStr">
        <is>
          <t>AMZN</t>
        </is>
      </c>
      <c r="C46" s="5" t="n">
        <v>43119</v>
      </c>
      <c r="D46" t="n">
        <v>1</v>
      </c>
      <c r="E46" t="n">
        <v>1294.5799</v>
      </c>
      <c r="F46" t="inlineStr">
        <is>
          <t>USD</t>
        </is>
      </c>
      <c r="G46" t="n">
        <v>5</v>
      </c>
      <c r="H46" t="inlineStr">
        <is>
          <t>USD</t>
        </is>
      </c>
    </row>
    <row r="47">
      <c r="A47" t="inlineStr">
        <is>
          <t>B046</t>
        </is>
      </c>
      <c r="B47" t="inlineStr">
        <is>
          <t>VAS</t>
        </is>
      </c>
      <c r="C47" s="5" t="n">
        <v>43133</v>
      </c>
      <c r="D47" t="n">
        <v>14</v>
      </c>
      <c r="E47" t="n">
        <v>77.97</v>
      </c>
      <c r="F47" t="inlineStr">
        <is>
          <t>AUD</t>
        </is>
      </c>
      <c r="G47" t="n">
        <v>9.5</v>
      </c>
      <c r="H47" t="inlineStr">
        <is>
          <t>AUD</t>
        </is>
      </c>
    </row>
    <row r="48">
      <c r="A48" t="inlineStr">
        <is>
          <t>B047</t>
        </is>
      </c>
      <c r="B48" t="inlineStr">
        <is>
          <t>VGS</t>
        </is>
      </c>
      <c r="C48" s="5" t="n">
        <v>43133</v>
      </c>
      <c r="D48" t="n">
        <v>20</v>
      </c>
      <c r="E48" t="n">
        <v>67.42</v>
      </c>
      <c r="F48" t="inlineStr">
        <is>
          <t>AUD</t>
        </is>
      </c>
      <c r="G48" t="n">
        <v>9.5</v>
      </c>
      <c r="H48" t="inlineStr">
        <is>
          <t>AUD</t>
        </is>
      </c>
    </row>
    <row r="49">
      <c r="A49" t="inlineStr">
        <is>
          <t>B048</t>
        </is>
      </c>
      <c r="B49" t="inlineStr">
        <is>
          <t>TLS</t>
        </is>
      </c>
      <c r="C49" s="5" t="n">
        <v>43139</v>
      </c>
      <c r="D49" t="n">
        <v>315</v>
      </c>
      <c r="E49" t="n">
        <v>3.56</v>
      </c>
      <c r="F49" t="inlineStr">
        <is>
          <t>AUD</t>
        </is>
      </c>
      <c r="G49" t="n">
        <v>19.95</v>
      </c>
      <c r="H49" t="inlineStr">
        <is>
          <t>AUD</t>
        </is>
      </c>
    </row>
    <row r="50">
      <c r="A50" t="inlineStr">
        <is>
          <t>B049</t>
        </is>
      </c>
      <c r="B50" t="inlineStr">
        <is>
          <t>AMZN</t>
        </is>
      </c>
      <c r="C50" s="5" t="n">
        <v>43164</v>
      </c>
      <c r="D50" t="n">
        <v>1</v>
      </c>
      <c r="E50" t="n">
        <v>1523.6099</v>
      </c>
      <c r="F50" t="inlineStr">
        <is>
          <t>USD</t>
        </is>
      </c>
      <c r="G50" t="n">
        <v>5</v>
      </c>
      <c r="H50" t="inlineStr">
        <is>
          <t>USD</t>
        </is>
      </c>
    </row>
    <row r="51">
      <c r="A51" t="inlineStr">
        <is>
          <t>B050</t>
        </is>
      </c>
      <c r="B51" t="inlineStr">
        <is>
          <t>VAS</t>
        </is>
      </c>
      <c r="C51" s="5" t="n">
        <v>43165</v>
      </c>
      <c r="D51" t="n">
        <v>20</v>
      </c>
      <c r="E51" t="n">
        <v>76.69</v>
      </c>
      <c r="F51" t="inlineStr">
        <is>
          <t>AUD</t>
        </is>
      </c>
      <c r="G51" t="n">
        <v>9.5</v>
      </c>
      <c r="H51" t="inlineStr">
        <is>
          <t>AUD</t>
        </is>
      </c>
    </row>
    <row r="52">
      <c r="A52" t="inlineStr">
        <is>
          <t>B051</t>
        </is>
      </c>
      <c r="B52" t="inlineStr">
        <is>
          <t>VGS</t>
        </is>
      </c>
      <c r="C52" s="5" t="n">
        <v>43165</v>
      </c>
      <c r="D52" t="n">
        <v>28</v>
      </c>
      <c r="E52" t="n">
        <v>66.37</v>
      </c>
      <c r="F52" t="inlineStr">
        <is>
          <t>AUD</t>
        </is>
      </c>
      <c r="G52" t="n">
        <v>9.5</v>
      </c>
      <c r="H52" t="inlineStr">
        <is>
          <t>AUD</t>
        </is>
      </c>
    </row>
    <row r="53">
      <c r="A53" t="inlineStr">
        <is>
          <t>B052</t>
        </is>
      </c>
      <c r="B53" t="inlineStr">
        <is>
          <t>VAS</t>
        </is>
      </c>
      <c r="C53" s="5" t="n">
        <v>43196</v>
      </c>
      <c r="D53" t="n">
        <v>12</v>
      </c>
      <c r="E53" t="n">
        <v>73.94</v>
      </c>
      <c r="F53" t="inlineStr">
        <is>
          <t>AUD</t>
        </is>
      </c>
      <c r="G53" t="n">
        <v>9.5</v>
      </c>
      <c r="H53" t="inlineStr">
        <is>
          <t>AUD</t>
        </is>
      </c>
    </row>
    <row r="54">
      <c r="A54" t="inlineStr">
        <is>
          <t>B053</t>
        </is>
      </c>
      <c r="B54" t="inlineStr">
        <is>
          <t>VGS</t>
        </is>
      </c>
      <c r="C54" s="5" t="n">
        <v>43196</v>
      </c>
      <c r="D54" t="n">
        <v>17</v>
      </c>
      <c r="E54" t="n">
        <v>65.64</v>
      </c>
      <c r="F54" t="inlineStr">
        <is>
          <t>AUD</t>
        </is>
      </c>
      <c r="G54" t="n">
        <v>9.5</v>
      </c>
      <c r="H54" t="inlineStr">
        <is>
          <t>AUD</t>
        </is>
      </c>
    </row>
    <row r="55">
      <c r="A55" t="inlineStr">
        <is>
          <t>B054</t>
        </is>
      </c>
      <c r="B55" t="inlineStr">
        <is>
          <t>VAS</t>
        </is>
      </c>
      <c r="C55" s="5" t="n">
        <v>43227</v>
      </c>
      <c r="D55" t="n">
        <v>15</v>
      </c>
      <c r="E55" t="n">
        <v>77.73999999999999</v>
      </c>
      <c r="F55" t="inlineStr">
        <is>
          <t>AUD</t>
        </is>
      </c>
      <c r="G55" t="n">
        <v>9.5</v>
      </c>
      <c r="H55" t="inlineStr">
        <is>
          <t>AUD</t>
        </is>
      </c>
    </row>
    <row r="56">
      <c r="A56" t="inlineStr">
        <is>
          <t>B055</t>
        </is>
      </c>
      <c r="B56" t="inlineStr">
        <is>
          <t>VGS</t>
        </is>
      </c>
      <c r="C56" s="5" t="n">
        <v>43227</v>
      </c>
      <c r="D56" t="n">
        <v>22</v>
      </c>
      <c r="E56" t="n">
        <v>68.26000000000001</v>
      </c>
      <c r="F56" t="inlineStr">
        <is>
          <t>AUD</t>
        </is>
      </c>
      <c r="G56" t="n">
        <v>9.5</v>
      </c>
      <c r="H56" t="inlineStr">
        <is>
          <t>AUD</t>
        </is>
      </c>
    </row>
    <row r="57">
      <c r="A57" t="inlineStr">
        <is>
          <t>B056</t>
        </is>
      </c>
      <c r="B57" t="inlineStr">
        <is>
          <t>A200</t>
        </is>
      </c>
      <c r="C57" s="5" t="n">
        <v>43257</v>
      </c>
      <c r="D57" t="n">
        <v>8</v>
      </c>
      <c r="E57" t="n">
        <v>99.92</v>
      </c>
      <c r="F57" t="inlineStr">
        <is>
          <t>AUD</t>
        </is>
      </c>
      <c r="G57" t="n">
        <v>9.5</v>
      </c>
      <c r="H57" t="inlineStr">
        <is>
          <t>AUD</t>
        </is>
      </c>
    </row>
    <row r="58">
      <c r="A58" t="inlineStr">
        <is>
          <t>B057</t>
        </is>
      </c>
      <c r="B58" t="inlineStr">
        <is>
          <t>VGS</t>
        </is>
      </c>
      <c r="C58" s="5" t="n">
        <v>43257</v>
      </c>
      <c r="D58" t="n">
        <v>15</v>
      </c>
      <c r="E58" t="n">
        <v>68.28</v>
      </c>
      <c r="F58" t="inlineStr">
        <is>
          <t>AUD</t>
        </is>
      </c>
      <c r="G58" t="n">
        <v>9.5</v>
      </c>
      <c r="H58" t="inlineStr">
        <is>
          <t>AUD</t>
        </is>
      </c>
    </row>
    <row r="59">
      <c r="A59" t="inlineStr">
        <is>
          <t>B058</t>
        </is>
      </c>
      <c r="B59" t="inlineStr">
        <is>
          <t>A200</t>
        </is>
      </c>
      <c r="C59" s="5" t="n">
        <v>43283</v>
      </c>
      <c r="D59" t="n">
        <v>16</v>
      </c>
      <c r="E59" t="n">
        <v>102.6</v>
      </c>
      <c r="F59" t="inlineStr">
        <is>
          <t>AUD</t>
        </is>
      </c>
      <c r="G59" t="n">
        <v>9.5</v>
      </c>
      <c r="H59" t="inlineStr">
        <is>
          <t>AUD</t>
        </is>
      </c>
    </row>
    <row r="60">
      <c r="A60" t="inlineStr">
        <is>
          <t>B059</t>
        </is>
      </c>
      <c r="B60" t="inlineStr">
        <is>
          <t>VGS</t>
        </is>
      </c>
      <c r="C60" s="5" t="n">
        <v>43283</v>
      </c>
      <c r="D60" t="n">
        <v>29</v>
      </c>
      <c r="E60" t="n">
        <v>68.14</v>
      </c>
      <c r="F60" t="inlineStr">
        <is>
          <t>AUD</t>
        </is>
      </c>
      <c r="G60" t="n">
        <v>9.5</v>
      </c>
      <c r="H60" t="inlineStr">
        <is>
          <t>AUD</t>
        </is>
      </c>
    </row>
    <row r="61">
      <c r="A61" t="inlineStr">
        <is>
          <t>B060</t>
        </is>
      </c>
      <c r="B61" t="inlineStr">
        <is>
          <t>A200</t>
        </is>
      </c>
      <c r="C61" s="5" t="n">
        <v>43314</v>
      </c>
      <c r="D61" t="n">
        <v>13</v>
      </c>
      <c r="E61" t="n">
        <v>103.68</v>
      </c>
      <c r="F61" t="inlineStr">
        <is>
          <t>AUD</t>
        </is>
      </c>
      <c r="G61" t="n">
        <v>9.5</v>
      </c>
      <c r="H61" t="inlineStr">
        <is>
          <t>AUD</t>
        </is>
      </c>
    </row>
    <row r="62">
      <c r="A62" t="inlineStr">
        <is>
          <t>B061</t>
        </is>
      </c>
      <c r="B62" t="inlineStr">
        <is>
          <t>VGS</t>
        </is>
      </c>
      <c r="C62" s="5" t="n">
        <v>43314</v>
      </c>
      <c r="D62" t="n">
        <v>23</v>
      </c>
      <c r="E62" t="n">
        <v>70.39</v>
      </c>
      <c r="F62" t="inlineStr">
        <is>
          <t>AUD</t>
        </is>
      </c>
      <c r="G62" t="n">
        <v>9.5</v>
      </c>
      <c r="H62" t="inlineStr">
        <is>
          <t>AUD</t>
        </is>
      </c>
    </row>
    <row r="63">
      <c r="A63" t="inlineStr">
        <is>
          <t>B062</t>
        </is>
      </c>
      <c r="B63" t="inlineStr">
        <is>
          <t>MSFT</t>
        </is>
      </c>
      <c r="C63" s="5" t="n">
        <v>43339</v>
      </c>
      <c r="D63" t="n">
        <v>7</v>
      </c>
      <c r="E63" t="n">
        <v>109.6</v>
      </c>
      <c r="F63" t="inlineStr">
        <is>
          <t>USD</t>
        </is>
      </c>
      <c r="G63" t="n">
        <v>5</v>
      </c>
      <c r="H63" t="inlineStr">
        <is>
          <t>USD</t>
        </is>
      </c>
    </row>
    <row r="64">
      <c r="A64" t="inlineStr">
        <is>
          <t>B063</t>
        </is>
      </c>
      <c r="B64" t="inlineStr">
        <is>
          <t>A200</t>
        </is>
      </c>
      <c r="C64" s="5" t="n">
        <v>43346</v>
      </c>
      <c r="D64" t="n">
        <v>10</v>
      </c>
      <c r="E64" t="n">
        <v>105.86</v>
      </c>
      <c r="F64" t="inlineStr">
        <is>
          <t>AUD</t>
        </is>
      </c>
      <c r="G64" t="n">
        <v>9.5</v>
      </c>
      <c r="H64" t="inlineStr">
        <is>
          <t>AUD</t>
        </is>
      </c>
    </row>
    <row r="65">
      <c r="A65" t="inlineStr">
        <is>
          <t>B064</t>
        </is>
      </c>
      <c r="B65" t="inlineStr">
        <is>
          <t>VGS</t>
        </is>
      </c>
      <c r="C65" s="5" t="n">
        <v>43346</v>
      </c>
      <c r="D65" t="n">
        <v>18</v>
      </c>
      <c r="E65" t="n">
        <v>73.51000000000001</v>
      </c>
      <c r="F65" t="inlineStr">
        <is>
          <t>AUD</t>
        </is>
      </c>
      <c r="G65" t="n">
        <v>9.5</v>
      </c>
      <c r="H65" t="inlineStr">
        <is>
          <t>AUD</t>
        </is>
      </c>
    </row>
    <row r="66">
      <c r="A66" t="inlineStr">
        <is>
          <t>B065</t>
        </is>
      </c>
      <c r="B66" t="inlineStr">
        <is>
          <t>MSFT</t>
        </is>
      </c>
      <c r="C66" s="5" t="n">
        <v>43347</v>
      </c>
      <c r="D66" t="n">
        <v>4</v>
      </c>
      <c r="E66" t="n">
        <v>111.71</v>
      </c>
      <c r="F66" t="inlineStr">
        <is>
          <t>USD</t>
        </is>
      </c>
      <c r="G66" t="n">
        <v>5</v>
      </c>
      <c r="H66" t="inlineStr">
        <is>
          <t>USD</t>
        </is>
      </c>
    </row>
    <row r="67">
      <c r="A67" t="inlineStr">
        <is>
          <t>B066</t>
        </is>
      </c>
      <c r="B67" t="inlineStr">
        <is>
          <t>BHP</t>
        </is>
      </c>
      <c r="C67" s="5" t="n">
        <v>43360</v>
      </c>
      <c r="D67" t="n">
        <v>43</v>
      </c>
      <c r="E67" t="n">
        <v>28.1458</v>
      </c>
      <c r="F67" t="inlineStr">
        <is>
          <t>AUD</t>
        </is>
      </c>
      <c r="G67" t="n">
        <v>19.95</v>
      </c>
      <c r="H67" t="inlineStr">
        <is>
          <t>AUD</t>
        </is>
      </c>
    </row>
    <row r="68">
      <c r="A68" t="inlineStr">
        <is>
          <t>B067</t>
        </is>
      </c>
      <c r="B68" t="inlineStr">
        <is>
          <t>A200</t>
        </is>
      </c>
      <c r="C68" s="5" t="n">
        <v>43375</v>
      </c>
      <c r="D68" t="n">
        <v>12</v>
      </c>
      <c r="E68" t="n">
        <v>102.02</v>
      </c>
      <c r="F68" t="inlineStr">
        <is>
          <t>AUD</t>
        </is>
      </c>
      <c r="G68" t="n">
        <v>9.5</v>
      </c>
      <c r="H68" t="inlineStr">
        <is>
          <t>AUD</t>
        </is>
      </c>
    </row>
    <row r="69">
      <c r="A69" t="inlineStr">
        <is>
          <t>B068</t>
        </is>
      </c>
      <c r="B69" t="inlineStr">
        <is>
          <t>VGS</t>
        </is>
      </c>
      <c r="C69" s="5" t="n">
        <v>43375</v>
      </c>
      <c r="D69" t="n">
        <v>21</v>
      </c>
      <c r="E69" t="n">
        <v>73.66</v>
      </c>
      <c r="F69" t="inlineStr">
        <is>
          <t>AUD</t>
        </is>
      </c>
      <c r="G69" t="n">
        <v>9.5</v>
      </c>
      <c r="H69" t="inlineStr">
        <is>
          <t>AUD</t>
        </is>
      </c>
    </row>
    <row r="70">
      <c r="A70" t="inlineStr">
        <is>
          <t>B069</t>
        </is>
      </c>
      <c r="B70" t="inlineStr">
        <is>
          <t>AAPL</t>
        </is>
      </c>
      <c r="C70" s="5" t="n">
        <v>43384</v>
      </c>
      <c r="D70" t="n">
        <v>2</v>
      </c>
      <c r="E70" t="n">
        <v>214.45</v>
      </c>
      <c r="F70" t="inlineStr">
        <is>
          <t>USD</t>
        </is>
      </c>
      <c r="G70" t="n">
        <v>5</v>
      </c>
      <c r="H70" t="inlineStr">
        <is>
          <t>USD</t>
        </is>
      </c>
    </row>
    <row r="71">
      <c r="A71" t="inlineStr">
        <is>
          <t>B070</t>
        </is>
      </c>
      <c r="B71" t="inlineStr">
        <is>
          <t>MSFT</t>
        </is>
      </c>
      <c r="C71" s="5" t="n">
        <v>43385</v>
      </c>
      <c r="D71" t="n">
        <v>7</v>
      </c>
      <c r="E71" t="n">
        <v>109.57</v>
      </c>
      <c r="F71" t="inlineStr">
        <is>
          <t>USD</t>
        </is>
      </c>
      <c r="G71" t="n">
        <v>5</v>
      </c>
      <c r="H71" t="inlineStr">
        <is>
          <t>USD</t>
        </is>
      </c>
    </row>
    <row r="72">
      <c r="A72" t="inlineStr">
        <is>
          <t>B071</t>
        </is>
      </c>
      <c r="B72" t="inlineStr">
        <is>
          <t>A200</t>
        </is>
      </c>
      <c r="C72" s="5" t="n">
        <v>43409</v>
      </c>
      <c r="D72" t="n">
        <v>15</v>
      </c>
      <c r="E72" t="n">
        <v>96.91</v>
      </c>
      <c r="F72" t="inlineStr">
        <is>
          <t>AUD</t>
        </is>
      </c>
      <c r="G72" t="n">
        <v>9.5</v>
      </c>
      <c r="H72" t="inlineStr">
        <is>
          <t>AUD</t>
        </is>
      </c>
    </row>
    <row r="73">
      <c r="A73" t="inlineStr">
        <is>
          <t>B072</t>
        </is>
      </c>
      <c r="B73" t="inlineStr">
        <is>
          <t>VGS</t>
        </is>
      </c>
      <c r="C73" s="5" t="n">
        <v>43409</v>
      </c>
      <c r="D73" t="n">
        <v>26</v>
      </c>
      <c r="E73" t="n">
        <v>68.72</v>
      </c>
      <c r="F73" t="inlineStr">
        <is>
          <t>AUD</t>
        </is>
      </c>
      <c r="G73" t="n">
        <v>9.5</v>
      </c>
      <c r="H73" t="inlineStr">
        <is>
          <t>AUD</t>
        </is>
      </c>
    </row>
    <row r="74">
      <c r="A74" t="inlineStr">
        <is>
          <t>B073</t>
        </is>
      </c>
      <c r="B74" t="inlineStr">
        <is>
          <t>WES</t>
        </is>
      </c>
      <c r="C74" s="5" t="n">
        <v>43416</v>
      </c>
      <c r="D74" t="n">
        <v>14</v>
      </c>
      <c r="E74" t="n">
        <v>33.8899</v>
      </c>
      <c r="F74" t="inlineStr">
        <is>
          <t>AUD</t>
        </is>
      </c>
      <c r="G74" t="n">
        <v>19.95</v>
      </c>
      <c r="H74" t="inlineStr">
        <is>
          <t>AUD</t>
        </is>
      </c>
    </row>
    <row r="75">
      <c r="A75" t="inlineStr">
        <is>
          <t>B074</t>
        </is>
      </c>
      <c r="B75" t="inlineStr">
        <is>
          <t>AAPL</t>
        </is>
      </c>
      <c r="C75" s="5" t="n">
        <v>43425</v>
      </c>
      <c r="D75" t="n">
        <v>3</v>
      </c>
      <c r="E75" t="n">
        <v>176.78</v>
      </c>
      <c r="F75" t="inlineStr">
        <is>
          <t>USD</t>
        </is>
      </c>
      <c r="G75" t="n">
        <v>5</v>
      </c>
      <c r="H75" t="inlineStr">
        <is>
          <t>USD</t>
        </is>
      </c>
    </row>
    <row r="76">
      <c r="A76" t="inlineStr">
        <is>
          <t>B075</t>
        </is>
      </c>
      <c r="B76" t="inlineStr">
        <is>
          <t>A200</t>
        </is>
      </c>
      <c r="C76" s="5" t="n">
        <v>43440</v>
      </c>
      <c r="D76" t="n">
        <v>9</v>
      </c>
      <c r="E76" t="n">
        <v>94.84999999999999</v>
      </c>
      <c r="F76" t="inlineStr">
        <is>
          <t>AUD</t>
        </is>
      </c>
      <c r="G76" t="n">
        <v>9.5</v>
      </c>
      <c r="H76" t="inlineStr">
        <is>
          <t>AUD</t>
        </is>
      </c>
    </row>
    <row r="77">
      <c r="A77" t="inlineStr">
        <is>
          <t>B076</t>
        </is>
      </c>
      <c r="B77" t="inlineStr">
        <is>
          <t>VGS</t>
        </is>
      </c>
      <c r="C77" s="5" t="n">
        <v>43440</v>
      </c>
      <c r="D77" t="n">
        <v>16</v>
      </c>
      <c r="E77" t="n">
        <v>66.86</v>
      </c>
      <c r="F77" t="inlineStr">
        <is>
          <t>AUD</t>
        </is>
      </c>
      <c r="G77" t="n">
        <v>9.5</v>
      </c>
      <c r="H77" t="inlineStr">
        <is>
          <t>AUD</t>
        </is>
      </c>
    </row>
    <row r="78">
      <c r="A78" t="inlineStr">
        <is>
          <t>B077</t>
        </is>
      </c>
      <c r="B78" t="inlineStr">
        <is>
          <t>MSFT</t>
        </is>
      </c>
      <c r="C78" s="5" t="n">
        <v>43451</v>
      </c>
      <c r="D78" t="n">
        <v>4</v>
      </c>
      <c r="E78" t="n">
        <v>102.89</v>
      </c>
      <c r="F78" t="inlineStr">
        <is>
          <t>USD</t>
        </is>
      </c>
      <c r="G78" t="n">
        <v>5</v>
      </c>
      <c r="H78" t="inlineStr">
        <is>
          <t>USD</t>
        </is>
      </c>
    </row>
    <row r="79">
      <c r="A79" t="inlineStr">
        <is>
          <t>B078</t>
        </is>
      </c>
      <c r="B79" t="inlineStr">
        <is>
          <t>A200</t>
        </is>
      </c>
      <c r="C79" s="5" t="n">
        <v>43469</v>
      </c>
      <c r="D79" t="n">
        <v>13</v>
      </c>
      <c r="E79" t="n">
        <v>93.61</v>
      </c>
      <c r="F79" t="inlineStr">
        <is>
          <t>AUD</t>
        </is>
      </c>
      <c r="G79" t="n">
        <v>9.5</v>
      </c>
      <c r="H79" t="inlineStr">
        <is>
          <t>AUD</t>
        </is>
      </c>
    </row>
    <row r="80">
      <c r="A80" t="inlineStr">
        <is>
          <t>B079</t>
        </is>
      </c>
      <c r="B80" t="inlineStr">
        <is>
          <t>VGS</t>
        </is>
      </c>
      <c r="C80" s="5" t="n">
        <v>43469</v>
      </c>
      <c r="D80" t="n">
        <v>23</v>
      </c>
      <c r="E80" t="n">
        <v>64.09</v>
      </c>
      <c r="F80" t="inlineStr">
        <is>
          <t>AUD</t>
        </is>
      </c>
      <c r="G80" t="n">
        <v>9.5</v>
      </c>
      <c r="H80" t="inlineStr">
        <is>
          <t>AUD</t>
        </is>
      </c>
    </row>
    <row r="81">
      <c r="A81" t="inlineStr">
        <is>
          <t>B080</t>
        </is>
      </c>
      <c r="B81" t="inlineStr">
        <is>
          <t>AMZN</t>
        </is>
      </c>
      <c r="C81" s="5" t="n">
        <v>43472</v>
      </c>
      <c r="D81" t="n">
        <v>1</v>
      </c>
      <c r="E81" t="n">
        <v>1629.51</v>
      </c>
      <c r="F81" t="inlineStr">
        <is>
          <t>USD</t>
        </is>
      </c>
      <c r="G81" t="n">
        <v>5</v>
      </c>
      <c r="H81" t="inlineStr">
        <is>
          <t>USD</t>
        </is>
      </c>
    </row>
    <row r="82">
      <c r="A82" t="inlineStr">
        <is>
          <t>B081</t>
        </is>
      </c>
      <c r="B82" t="inlineStr">
        <is>
          <t>A200</t>
        </is>
      </c>
      <c r="C82" s="5" t="n">
        <v>43501</v>
      </c>
      <c r="D82" t="n">
        <v>14</v>
      </c>
      <c r="E82" t="n">
        <v>100.39</v>
      </c>
      <c r="F82" t="inlineStr">
        <is>
          <t>AUD</t>
        </is>
      </c>
      <c r="G82" t="n">
        <v>9.5</v>
      </c>
      <c r="H82" t="inlineStr">
        <is>
          <t>AUD</t>
        </is>
      </c>
    </row>
    <row r="83">
      <c r="A83" t="inlineStr">
        <is>
          <t>B082</t>
        </is>
      </c>
      <c r="B83" t="inlineStr">
        <is>
          <t>VGS</t>
        </is>
      </c>
      <c r="C83" s="5" t="n">
        <v>43501</v>
      </c>
      <c r="D83" t="n">
        <v>26</v>
      </c>
      <c r="E83" t="n">
        <v>68</v>
      </c>
      <c r="F83" t="inlineStr">
        <is>
          <t>AUD</t>
        </is>
      </c>
      <c r="G83" t="n">
        <v>9.5</v>
      </c>
      <c r="H83" t="inlineStr">
        <is>
          <t>AUD</t>
        </is>
      </c>
    </row>
    <row r="84">
      <c r="A84" t="inlineStr">
        <is>
          <t>B083</t>
        </is>
      </c>
      <c r="B84" t="inlineStr">
        <is>
          <t>AMZN</t>
        </is>
      </c>
      <c r="C84" s="5" t="n">
        <v>43502</v>
      </c>
      <c r="D84" t="n">
        <v>1</v>
      </c>
      <c r="E84" t="n">
        <v>1640.26</v>
      </c>
      <c r="F84" t="inlineStr">
        <is>
          <t>USD</t>
        </is>
      </c>
      <c r="G84" t="n">
        <v>5</v>
      </c>
      <c r="H84" t="inlineStr">
        <is>
          <t>USD</t>
        </is>
      </c>
    </row>
    <row r="85">
      <c r="A85" t="inlineStr">
        <is>
          <t>B084</t>
        </is>
      </c>
      <c r="B85" t="inlineStr">
        <is>
          <t>A200</t>
        </is>
      </c>
      <c r="C85" s="5" t="n">
        <v>43528</v>
      </c>
      <c r="D85" t="n">
        <v>8</v>
      </c>
      <c r="E85" t="n">
        <v>104.63</v>
      </c>
      <c r="F85" t="inlineStr">
        <is>
          <t>AUD</t>
        </is>
      </c>
      <c r="G85" t="n">
        <v>9.5</v>
      </c>
      <c r="H85" t="inlineStr">
        <is>
          <t>AUD</t>
        </is>
      </c>
    </row>
    <row r="86">
      <c r="A86" t="inlineStr">
        <is>
          <t>B085</t>
        </is>
      </c>
      <c r="B86" t="inlineStr">
        <is>
          <t>VGS</t>
        </is>
      </c>
      <c r="C86" s="5" t="n">
        <v>43528</v>
      </c>
      <c r="D86" t="n">
        <v>15</v>
      </c>
      <c r="E86" t="n">
        <v>72.14</v>
      </c>
      <c r="F86" t="inlineStr">
        <is>
          <t>AUD</t>
        </is>
      </c>
      <c r="G86" t="n">
        <v>9.5</v>
      </c>
      <c r="H86" t="inlineStr">
        <is>
          <t>AUD</t>
        </is>
      </c>
    </row>
    <row r="87">
      <c r="A87" t="inlineStr">
        <is>
          <t>B086</t>
        </is>
      </c>
      <c r="B87" t="inlineStr">
        <is>
          <t>AAPL</t>
        </is>
      </c>
      <c r="C87" s="5" t="n">
        <v>43535</v>
      </c>
      <c r="D87" t="n">
        <v>2</v>
      </c>
      <c r="E87" t="n">
        <v>178.9</v>
      </c>
      <c r="F87" t="inlineStr">
        <is>
          <t>USD</t>
        </is>
      </c>
      <c r="G87" t="n">
        <v>5</v>
      </c>
      <c r="H87" t="inlineStr">
        <is>
          <t>USD</t>
        </is>
      </c>
    </row>
    <row r="88">
      <c r="A88" t="inlineStr">
        <is>
          <t>B087</t>
        </is>
      </c>
      <c r="B88" t="inlineStr">
        <is>
          <t>A200</t>
        </is>
      </c>
      <c r="C88" s="5" t="n">
        <v>43557</v>
      </c>
      <c r="D88" t="n">
        <v>8</v>
      </c>
      <c r="E88" t="n">
        <v>104.52</v>
      </c>
      <c r="F88" t="inlineStr">
        <is>
          <t>AUD</t>
        </is>
      </c>
      <c r="G88" t="n">
        <v>9.5</v>
      </c>
      <c r="H88" t="inlineStr">
        <is>
          <t>AUD</t>
        </is>
      </c>
    </row>
    <row r="89">
      <c r="A89" t="inlineStr">
        <is>
          <t>B088</t>
        </is>
      </c>
      <c r="B89" t="inlineStr">
        <is>
          <t>VGS</t>
        </is>
      </c>
      <c r="C89" s="5" t="n">
        <v>43557</v>
      </c>
      <c r="D89" t="n">
        <v>14</v>
      </c>
      <c r="E89" t="n">
        <v>72.72</v>
      </c>
      <c r="F89" t="inlineStr">
        <is>
          <t>AUD</t>
        </is>
      </c>
      <c r="G89" t="n">
        <v>9.5</v>
      </c>
      <c r="H89" t="inlineStr">
        <is>
          <t>AUD</t>
        </is>
      </c>
    </row>
    <row r="90">
      <c r="A90" t="inlineStr">
        <is>
          <t>B089</t>
        </is>
      </c>
      <c r="B90" t="inlineStr">
        <is>
          <t>A200</t>
        </is>
      </c>
      <c r="C90" s="5" t="n">
        <v>43591</v>
      </c>
      <c r="D90" t="n">
        <v>14</v>
      </c>
      <c r="E90" t="n">
        <v>105.05</v>
      </c>
      <c r="F90" t="inlineStr">
        <is>
          <t>AUD</t>
        </is>
      </c>
      <c r="G90" t="n">
        <v>9.5</v>
      </c>
      <c r="H90" t="inlineStr">
        <is>
          <t>AUD</t>
        </is>
      </c>
    </row>
    <row r="91">
      <c r="A91" t="inlineStr">
        <is>
          <t>B090</t>
        </is>
      </c>
      <c r="B91" t="inlineStr">
        <is>
          <t>VGS</t>
        </is>
      </c>
      <c r="C91" s="5" t="n">
        <v>43591</v>
      </c>
      <c r="D91" t="n">
        <v>25</v>
      </c>
      <c r="E91" t="n">
        <v>74.48999999999999</v>
      </c>
      <c r="F91" t="inlineStr">
        <is>
          <t>AUD</t>
        </is>
      </c>
      <c r="G91" t="n">
        <v>9.5</v>
      </c>
      <c r="H91" t="inlineStr">
        <is>
          <t>AUD</t>
        </is>
      </c>
    </row>
    <row r="92">
      <c r="A92" t="inlineStr">
        <is>
          <t>B091</t>
        </is>
      </c>
      <c r="B92" t="inlineStr">
        <is>
          <t>WES</t>
        </is>
      </c>
      <c r="C92" s="5" t="n">
        <v>43605</v>
      </c>
      <c r="D92" t="n">
        <v>23</v>
      </c>
      <c r="E92" t="n">
        <v>36.71</v>
      </c>
      <c r="F92" t="inlineStr">
        <is>
          <t>AUD</t>
        </is>
      </c>
      <c r="G92" t="n">
        <v>19.95</v>
      </c>
      <c r="H92" t="inlineStr">
        <is>
          <t>AUD</t>
        </is>
      </c>
    </row>
    <row r="93">
      <c r="A93" t="inlineStr">
        <is>
          <t>B092</t>
        </is>
      </c>
      <c r="B93" t="inlineStr">
        <is>
          <t>A200</t>
        </is>
      </c>
      <c r="C93" s="5" t="n">
        <v>43620</v>
      </c>
      <c r="D93" t="n">
        <v>14</v>
      </c>
      <c r="E93" t="n">
        <v>106.68</v>
      </c>
      <c r="F93" t="inlineStr">
        <is>
          <t>AUD</t>
        </is>
      </c>
      <c r="G93" t="n">
        <v>9.5</v>
      </c>
      <c r="H93" t="inlineStr">
        <is>
          <t>AUD</t>
        </is>
      </c>
    </row>
    <row r="94">
      <c r="A94" t="inlineStr">
        <is>
          <t>B093</t>
        </is>
      </c>
      <c r="B94" t="inlineStr">
        <is>
          <t>VGS</t>
        </is>
      </c>
      <c r="C94" s="5" t="n">
        <v>43620</v>
      </c>
      <c r="D94" t="n">
        <v>26</v>
      </c>
      <c r="E94" t="n">
        <v>71.45</v>
      </c>
      <c r="F94" t="inlineStr">
        <is>
          <t>AUD</t>
        </is>
      </c>
      <c r="G94" t="n">
        <v>9.5</v>
      </c>
      <c r="H94" t="inlineStr">
        <is>
          <t>AUD</t>
        </is>
      </c>
    </row>
    <row r="95">
      <c r="A95" t="inlineStr">
        <is>
          <t>B094</t>
        </is>
      </c>
      <c r="B95" t="inlineStr">
        <is>
          <t>CBA</t>
        </is>
      </c>
      <c r="C95" s="5" t="n">
        <v>43633</v>
      </c>
      <c r="D95" t="n">
        <v>14</v>
      </c>
      <c r="E95" t="n">
        <v>80.19</v>
      </c>
      <c r="F95" t="inlineStr">
        <is>
          <t>AUD</t>
        </is>
      </c>
      <c r="G95" t="n">
        <v>19.95</v>
      </c>
      <c r="H95" t="inlineStr">
        <is>
          <t>AUD</t>
        </is>
      </c>
    </row>
    <row r="96">
      <c r="A96" t="inlineStr">
        <is>
          <t>B095</t>
        </is>
      </c>
      <c r="B96" t="inlineStr">
        <is>
          <t>A200</t>
        </is>
      </c>
      <c r="C96" s="5" t="n">
        <v>43651</v>
      </c>
      <c r="D96" t="n">
        <v>10</v>
      </c>
      <c r="E96" t="n">
        <v>112.85</v>
      </c>
      <c r="F96" t="inlineStr">
        <is>
          <t>AUD</t>
        </is>
      </c>
      <c r="G96" t="n">
        <v>9.5</v>
      </c>
      <c r="H96" t="inlineStr">
        <is>
          <t>AUD</t>
        </is>
      </c>
    </row>
    <row r="97">
      <c r="A97" t="inlineStr">
        <is>
          <t>B096</t>
        </is>
      </c>
      <c r="B97" t="inlineStr">
        <is>
          <t>MSFT</t>
        </is>
      </c>
      <c r="C97" s="5" t="n">
        <v>43651</v>
      </c>
      <c r="D97" t="n">
        <v>6</v>
      </c>
      <c r="E97" t="n">
        <v>137.06</v>
      </c>
      <c r="F97" t="inlineStr">
        <is>
          <t>USD</t>
        </is>
      </c>
      <c r="G97" t="n">
        <v>5</v>
      </c>
      <c r="H97" t="inlineStr">
        <is>
          <t>USD</t>
        </is>
      </c>
    </row>
    <row r="98">
      <c r="A98" t="inlineStr">
        <is>
          <t>B097</t>
        </is>
      </c>
      <c r="B98" t="inlineStr">
        <is>
          <t>VGS</t>
        </is>
      </c>
      <c r="C98" s="5" t="n">
        <v>43651</v>
      </c>
      <c r="D98" t="n">
        <v>18</v>
      </c>
      <c r="E98" t="n">
        <v>76.13</v>
      </c>
      <c r="F98" t="inlineStr">
        <is>
          <t>AUD</t>
        </is>
      </c>
      <c r="G98" t="n">
        <v>9.5</v>
      </c>
      <c r="H98" t="inlineStr">
        <is>
          <t>AUD</t>
        </is>
      </c>
    </row>
    <row r="99">
      <c r="A99" t="inlineStr">
        <is>
          <t>B098</t>
        </is>
      </c>
      <c r="B99" t="inlineStr">
        <is>
          <t>AMZN</t>
        </is>
      </c>
      <c r="C99" s="5" t="n">
        <v>43658</v>
      </c>
      <c r="D99" t="n">
        <v>1</v>
      </c>
      <c r="E99" t="n">
        <v>2011.0001</v>
      </c>
      <c r="F99" t="inlineStr">
        <is>
          <t>USD</t>
        </is>
      </c>
      <c r="G99" t="n">
        <v>5</v>
      </c>
      <c r="H99" t="inlineStr">
        <is>
          <t>USD</t>
        </is>
      </c>
    </row>
    <row r="100">
      <c r="A100" t="inlineStr">
        <is>
          <t>B099</t>
        </is>
      </c>
      <c r="B100" t="inlineStr">
        <is>
          <t>AMZN</t>
        </is>
      </c>
      <c r="C100" s="5" t="n">
        <v>43661</v>
      </c>
      <c r="D100" t="n">
        <v>1</v>
      </c>
      <c r="E100" t="n">
        <v>2020.99</v>
      </c>
      <c r="F100" t="inlineStr">
        <is>
          <t>USD</t>
        </is>
      </c>
      <c r="G100" t="n">
        <v>5</v>
      </c>
      <c r="H100" t="inlineStr">
        <is>
          <t>USD</t>
        </is>
      </c>
    </row>
    <row r="101">
      <c r="A101" t="inlineStr">
        <is>
          <t>B100</t>
        </is>
      </c>
      <c r="B101" t="inlineStr">
        <is>
          <t>A200</t>
        </is>
      </c>
      <c r="C101" s="5" t="n">
        <v>43682</v>
      </c>
      <c r="D101" t="n">
        <v>13</v>
      </c>
      <c r="E101" t="n">
        <v>113.04</v>
      </c>
      <c r="F101" t="inlineStr">
        <is>
          <t>AUD</t>
        </is>
      </c>
      <c r="G101" t="n">
        <v>9.5</v>
      </c>
      <c r="H101" t="inlineStr">
        <is>
          <t>AUD</t>
        </is>
      </c>
    </row>
    <row r="102">
      <c r="A102" t="inlineStr">
        <is>
          <t>B101</t>
        </is>
      </c>
      <c r="B102" t="inlineStr">
        <is>
          <t>VGS</t>
        </is>
      </c>
      <c r="C102" s="5" t="n">
        <v>43682</v>
      </c>
      <c r="D102" t="n">
        <v>24</v>
      </c>
      <c r="E102" t="n">
        <v>75.59999999999999</v>
      </c>
      <c r="F102" t="inlineStr">
        <is>
          <t>AUD</t>
        </is>
      </c>
      <c r="G102" t="n">
        <v>9.5</v>
      </c>
      <c r="H102" t="inlineStr">
        <is>
          <t>AUD</t>
        </is>
      </c>
    </row>
    <row r="103">
      <c r="A103" t="inlineStr">
        <is>
          <t>B102</t>
        </is>
      </c>
      <c r="B103" t="inlineStr">
        <is>
          <t>A200</t>
        </is>
      </c>
      <c r="C103" s="5" t="n">
        <v>43710</v>
      </c>
      <c r="D103" t="n">
        <v>13</v>
      </c>
      <c r="E103" t="n">
        <v>110.71</v>
      </c>
      <c r="F103" t="inlineStr">
        <is>
          <t>AUD</t>
        </is>
      </c>
      <c r="G103" t="n">
        <v>9.5</v>
      </c>
      <c r="H103" t="inlineStr">
        <is>
          <t>AUD</t>
        </is>
      </c>
    </row>
    <row r="104">
      <c r="A104" t="inlineStr">
        <is>
          <t>B103</t>
        </is>
      </c>
      <c r="B104" t="inlineStr">
        <is>
          <t>VGS</t>
        </is>
      </c>
      <c r="C104" s="5" t="n">
        <v>43710</v>
      </c>
      <c r="D104" t="n">
        <v>23</v>
      </c>
      <c r="E104" t="n">
        <v>76.63</v>
      </c>
      <c r="F104" t="inlineStr">
        <is>
          <t>AUD</t>
        </is>
      </c>
      <c r="G104" t="n">
        <v>9.5</v>
      </c>
      <c r="H104" t="inlineStr">
        <is>
          <t>AUD</t>
        </is>
      </c>
    </row>
    <row r="105">
      <c r="A105" t="inlineStr">
        <is>
          <t>B104</t>
        </is>
      </c>
      <c r="B105" t="inlineStr">
        <is>
          <t>MSFT</t>
        </is>
      </c>
      <c r="C105" s="5" t="n">
        <v>43738</v>
      </c>
      <c r="D105" t="n">
        <v>6</v>
      </c>
      <c r="E105" t="n">
        <v>139.03</v>
      </c>
      <c r="F105" t="inlineStr">
        <is>
          <t>USD</t>
        </is>
      </c>
      <c r="G105" t="n">
        <v>5</v>
      </c>
      <c r="H105" t="inlineStr">
        <is>
          <t>USD</t>
        </is>
      </c>
    </row>
    <row r="106">
      <c r="A106" t="inlineStr">
        <is>
          <t>B105</t>
        </is>
      </c>
      <c r="B106" t="inlineStr">
        <is>
          <t>A200</t>
        </is>
      </c>
      <c r="C106" s="5" t="n">
        <v>43740</v>
      </c>
      <c r="D106" t="n">
        <v>10</v>
      </c>
      <c r="E106" t="n">
        <v>111.09</v>
      </c>
      <c r="F106" t="inlineStr">
        <is>
          <t>AUD</t>
        </is>
      </c>
      <c r="G106" t="n">
        <v>9.5</v>
      </c>
      <c r="H106" t="inlineStr">
        <is>
          <t>AUD</t>
        </is>
      </c>
    </row>
    <row r="107">
      <c r="A107" t="inlineStr">
        <is>
          <t>B106</t>
        </is>
      </c>
      <c r="B107" t="inlineStr">
        <is>
          <t>VGS</t>
        </is>
      </c>
      <c r="C107" s="5" t="n">
        <v>43740</v>
      </c>
      <c r="D107" t="n">
        <v>17</v>
      </c>
      <c r="E107" t="n">
        <v>77.61</v>
      </c>
      <c r="F107" t="inlineStr">
        <is>
          <t>AUD</t>
        </is>
      </c>
      <c r="G107" t="n">
        <v>9.5</v>
      </c>
      <c r="H107" t="inlineStr">
        <is>
          <t>AUD</t>
        </is>
      </c>
    </row>
    <row r="108">
      <c r="A108" t="inlineStr">
        <is>
          <t>B107</t>
        </is>
      </c>
      <c r="B108" t="inlineStr">
        <is>
          <t>AAPL</t>
        </is>
      </c>
      <c r="C108" s="5" t="n">
        <v>43759</v>
      </c>
      <c r="D108" t="n">
        <v>3</v>
      </c>
      <c r="E108" t="n">
        <v>240.51</v>
      </c>
      <c r="F108" t="inlineStr">
        <is>
          <t>USD</t>
        </is>
      </c>
      <c r="G108" t="n">
        <v>5</v>
      </c>
      <c r="H108" t="inlineStr">
        <is>
          <t>USD</t>
        </is>
      </c>
    </row>
    <row r="109">
      <c r="A109" t="inlineStr">
        <is>
          <t>B108</t>
        </is>
      </c>
      <c r="B109" t="inlineStr">
        <is>
          <t>A200</t>
        </is>
      </c>
      <c r="C109" s="5" t="n">
        <v>43775</v>
      </c>
      <c r="D109" t="n">
        <v>8</v>
      </c>
      <c r="E109" t="n">
        <v>111.39</v>
      </c>
      <c r="F109" t="inlineStr">
        <is>
          <t>AUD</t>
        </is>
      </c>
      <c r="G109" t="n">
        <v>9.5</v>
      </c>
      <c r="H109" t="inlineStr">
        <is>
          <t>AUD</t>
        </is>
      </c>
    </row>
    <row r="110">
      <c r="A110" t="inlineStr">
        <is>
          <t>B109</t>
        </is>
      </c>
      <c r="B110" t="inlineStr">
        <is>
          <t>VGS</t>
        </is>
      </c>
      <c r="C110" s="5" t="n">
        <v>43775</v>
      </c>
      <c r="D110" t="n">
        <v>15</v>
      </c>
      <c r="E110" t="n">
        <v>79.08</v>
      </c>
      <c r="F110" t="inlineStr">
        <is>
          <t>AUD</t>
        </is>
      </c>
      <c r="G110" t="n">
        <v>9.5</v>
      </c>
      <c r="H110" t="inlineStr">
        <is>
          <t>AUD</t>
        </is>
      </c>
    </row>
    <row r="111">
      <c r="A111" t="inlineStr">
        <is>
          <t>B110</t>
        </is>
      </c>
      <c r="B111" t="inlineStr">
        <is>
          <t>A200</t>
        </is>
      </c>
      <c r="C111" s="5" t="n">
        <v>43802</v>
      </c>
      <c r="D111" t="n">
        <v>15</v>
      </c>
      <c r="E111" t="n">
        <v>112.7</v>
      </c>
      <c r="F111" t="inlineStr">
        <is>
          <t>AUD</t>
        </is>
      </c>
      <c r="G111" t="n">
        <v>9.5</v>
      </c>
      <c r="H111" t="inlineStr">
        <is>
          <t>AUD</t>
        </is>
      </c>
    </row>
    <row r="112">
      <c r="A112" t="inlineStr">
        <is>
          <t>B111</t>
        </is>
      </c>
      <c r="B112" t="inlineStr">
        <is>
          <t>VGS</t>
        </is>
      </c>
      <c r="C112" s="5" t="n">
        <v>43802</v>
      </c>
      <c r="D112" t="n">
        <v>26</v>
      </c>
      <c r="E112" t="n">
        <v>80.67</v>
      </c>
      <c r="F112" t="inlineStr">
        <is>
          <t>AUD</t>
        </is>
      </c>
      <c r="G112" t="n">
        <v>9.5</v>
      </c>
      <c r="H112" t="inlineStr">
        <is>
          <t>AUD</t>
        </is>
      </c>
    </row>
    <row r="113">
      <c r="A113" t="inlineStr">
        <is>
          <t>B112</t>
        </is>
      </c>
      <c r="B113" t="inlineStr">
        <is>
          <t>A200</t>
        </is>
      </c>
      <c r="C113" s="5" t="n">
        <v>43836</v>
      </c>
      <c r="D113" t="n">
        <v>14</v>
      </c>
      <c r="E113" t="n">
        <v>112.35</v>
      </c>
      <c r="F113" t="inlineStr">
        <is>
          <t>AUD</t>
        </is>
      </c>
      <c r="G113" t="n">
        <v>9.5</v>
      </c>
      <c r="H113" t="inlineStr">
        <is>
          <t>AUD</t>
        </is>
      </c>
    </row>
    <row r="114">
      <c r="A114" t="inlineStr">
        <is>
          <t>B113</t>
        </is>
      </c>
      <c r="B114" t="inlineStr">
        <is>
          <t>VGS</t>
        </is>
      </c>
      <c r="C114" s="5" t="n">
        <v>43836</v>
      </c>
      <c r="D114" t="n">
        <v>24</v>
      </c>
      <c r="E114" t="n">
        <v>81.73</v>
      </c>
      <c r="F114" t="inlineStr">
        <is>
          <t>AUD</t>
        </is>
      </c>
      <c r="G114" t="n">
        <v>9.5</v>
      </c>
      <c r="H114" t="inlineStr">
        <is>
          <t>AUD</t>
        </is>
      </c>
    </row>
    <row r="115">
      <c r="A115" t="inlineStr">
        <is>
          <t>B114</t>
        </is>
      </c>
      <c r="B115" t="inlineStr">
        <is>
          <t>AAPL</t>
        </is>
      </c>
      <c r="C115" s="5" t="n">
        <v>43846</v>
      </c>
      <c r="D115" t="n">
        <v>2</v>
      </c>
      <c r="E115" t="n">
        <v>315.24</v>
      </c>
      <c r="F115" t="inlineStr">
        <is>
          <t>USD</t>
        </is>
      </c>
      <c r="G115" t="n">
        <v>5</v>
      </c>
      <c r="H115" t="inlineStr">
        <is>
          <t>USD</t>
        </is>
      </c>
    </row>
    <row r="116">
      <c r="A116" t="inlineStr">
        <is>
          <t>B115</t>
        </is>
      </c>
      <c r="B116" t="inlineStr">
        <is>
          <t>A200</t>
        </is>
      </c>
      <c r="C116" s="5" t="n">
        <v>43866</v>
      </c>
      <c r="D116" t="n">
        <v>8</v>
      </c>
      <c r="E116" t="n">
        <v>116.29</v>
      </c>
      <c r="F116" t="inlineStr">
        <is>
          <t>AUD</t>
        </is>
      </c>
      <c r="G116" t="n">
        <v>9.5</v>
      </c>
      <c r="H116" t="inlineStr">
        <is>
          <t>AUD</t>
        </is>
      </c>
    </row>
    <row r="117">
      <c r="A117" t="inlineStr">
        <is>
          <t>B116</t>
        </is>
      </c>
      <c r="B117" t="inlineStr">
        <is>
          <t>VGS</t>
        </is>
      </c>
      <c r="C117" s="5" t="n">
        <v>43866</v>
      </c>
      <c r="D117" t="n">
        <v>14</v>
      </c>
      <c r="E117" t="n">
        <v>85.38</v>
      </c>
      <c r="F117" t="inlineStr">
        <is>
          <t>AUD</t>
        </is>
      </c>
      <c r="G117" t="n">
        <v>9.5</v>
      </c>
      <c r="H117" t="inlineStr">
        <is>
          <t>AUD</t>
        </is>
      </c>
    </row>
    <row r="118">
      <c r="A118" t="inlineStr">
        <is>
          <t>B117</t>
        </is>
      </c>
      <c r="B118" t="inlineStr">
        <is>
          <t>MSFT</t>
        </is>
      </c>
      <c r="C118" s="5" t="n">
        <v>43879</v>
      </c>
      <c r="D118" t="n">
        <v>3</v>
      </c>
      <c r="E118" t="n">
        <v>187.23</v>
      </c>
      <c r="F118" t="inlineStr">
        <is>
          <t>USD</t>
        </is>
      </c>
      <c r="G118" t="n">
        <v>5</v>
      </c>
      <c r="H118" t="inlineStr">
        <is>
          <t>USD</t>
        </is>
      </c>
    </row>
    <row r="119">
      <c r="A119" t="inlineStr">
        <is>
          <t>B118</t>
        </is>
      </c>
      <c r="B119" t="inlineStr">
        <is>
          <t>A200</t>
        </is>
      </c>
      <c r="C119" s="5" t="n">
        <v>43895</v>
      </c>
      <c r="D119" t="n">
        <v>8</v>
      </c>
      <c r="E119" t="n">
        <v>107.68</v>
      </c>
      <c r="F119" t="inlineStr">
        <is>
          <t>AUD</t>
        </is>
      </c>
      <c r="G119" t="n">
        <v>9.5</v>
      </c>
      <c r="H119" t="inlineStr">
        <is>
          <t>AUD</t>
        </is>
      </c>
    </row>
    <row r="120">
      <c r="A120" t="inlineStr">
        <is>
          <t>B119</t>
        </is>
      </c>
      <c r="B120" t="inlineStr">
        <is>
          <t>VGS</t>
        </is>
      </c>
      <c r="C120" s="5" t="n">
        <v>43895</v>
      </c>
      <c r="D120" t="n">
        <v>12</v>
      </c>
      <c r="E120" t="n">
        <v>81.36</v>
      </c>
      <c r="F120" t="inlineStr">
        <is>
          <t>AUD</t>
        </is>
      </c>
      <c r="G120" t="n">
        <v>9.5</v>
      </c>
      <c r="H120" t="inlineStr">
        <is>
          <t>AUD</t>
        </is>
      </c>
    </row>
    <row r="121">
      <c r="A121" t="inlineStr">
        <is>
          <t>B120</t>
        </is>
      </c>
      <c r="B121" t="inlineStr">
        <is>
          <t>WES</t>
        </is>
      </c>
      <c r="C121" s="5" t="n">
        <v>43910</v>
      </c>
      <c r="D121" t="n">
        <v>28</v>
      </c>
      <c r="E121" t="n">
        <v>33.28</v>
      </c>
      <c r="F121" t="inlineStr">
        <is>
          <t>AUD</t>
        </is>
      </c>
      <c r="G121" t="n">
        <v>19.95</v>
      </c>
      <c r="H121" t="inlineStr">
        <is>
          <t>AUD</t>
        </is>
      </c>
    </row>
    <row r="122">
      <c r="A122" t="inlineStr">
        <is>
          <t>B121</t>
        </is>
      </c>
      <c r="B122" t="inlineStr">
        <is>
          <t>A200</t>
        </is>
      </c>
      <c r="C122" s="5" t="n">
        <v>43923</v>
      </c>
      <c r="D122" t="n">
        <v>7</v>
      </c>
      <c r="E122" t="n">
        <v>86.75</v>
      </c>
      <c r="F122" t="inlineStr">
        <is>
          <t>AUD</t>
        </is>
      </c>
      <c r="G122" t="n">
        <v>9.5</v>
      </c>
      <c r="H122" t="inlineStr">
        <is>
          <t>AUD</t>
        </is>
      </c>
    </row>
    <row r="123">
      <c r="A123" t="inlineStr">
        <is>
          <t>B122</t>
        </is>
      </c>
      <c r="B123" t="inlineStr">
        <is>
          <t>MSFT</t>
        </is>
      </c>
      <c r="C123" s="5" t="n">
        <v>43923</v>
      </c>
      <c r="D123" t="n">
        <v>2</v>
      </c>
      <c r="E123" t="n">
        <v>155.26</v>
      </c>
      <c r="F123" t="inlineStr">
        <is>
          <t>USD</t>
        </is>
      </c>
      <c r="G123" t="n">
        <v>5</v>
      </c>
      <c r="H123" t="inlineStr">
        <is>
          <t>USD</t>
        </is>
      </c>
    </row>
    <row r="124">
      <c r="A124" t="inlineStr">
        <is>
          <t>B123</t>
        </is>
      </c>
      <c r="B124" t="inlineStr">
        <is>
          <t>VGS</t>
        </is>
      </c>
      <c r="C124" s="5" t="n">
        <v>43923</v>
      </c>
      <c r="D124" t="n">
        <v>11</v>
      </c>
      <c r="E124" t="n">
        <v>70.95</v>
      </c>
      <c r="F124" t="inlineStr">
        <is>
          <t>AUD</t>
        </is>
      </c>
      <c r="G124" t="n">
        <v>9.5</v>
      </c>
      <c r="H124" t="inlineStr">
        <is>
          <t>AUD</t>
        </is>
      </c>
    </row>
    <row r="125">
      <c r="A125" t="inlineStr">
        <is>
          <t>B124</t>
        </is>
      </c>
      <c r="B125" t="inlineStr">
        <is>
          <t>BHP</t>
        </is>
      </c>
      <c r="C125" s="5" t="n">
        <v>43935</v>
      </c>
      <c r="D125" t="n">
        <v>52</v>
      </c>
      <c r="E125" t="n">
        <v>28.1903</v>
      </c>
      <c r="F125" t="inlineStr">
        <is>
          <t>AUD</t>
        </is>
      </c>
      <c r="G125" t="n">
        <v>19.95</v>
      </c>
      <c r="H125" t="inlineStr">
        <is>
          <t>AUD</t>
        </is>
      </c>
    </row>
    <row r="126">
      <c r="A126" t="inlineStr">
        <is>
          <t>B125</t>
        </is>
      </c>
      <c r="B126" t="inlineStr">
        <is>
          <t>A200</t>
        </is>
      </c>
      <c r="C126" s="5" t="n">
        <v>43955</v>
      </c>
      <c r="D126" t="n">
        <v>13</v>
      </c>
      <c r="E126" t="n">
        <v>89.43000000000001</v>
      </c>
      <c r="F126" t="inlineStr">
        <is>
          <t>AUD</t>
        </is>
      </c>
      <c r="G126" t="n">
        <v>9.5</v>
      </c>
      <c r="H126" t="inlineStr">
        <is>
          <t>AUD</t>
        </is>
      </c>
    </row>
    <row r="127">
      <c r="A127" t="inlineStr">
        <is>
          <t>B126</t>
        </is>
      </c>
      <c r="B127" t="inlineStr">
        <is>
          <t>VGS</t>
        </is>
      </c>
      <c r="C127" s="5" t="n">
        <v>43955</v>
      </c>
      <c r="D127" t="n">
        <v>20</v>
      </c>
      <c r="E127" t="n">
        <v>74.75</v>
      </c>
      <c r="F127" t="inlineStr">
        <is>
          <t>AUD</t>
        </is>
      </c>
      <c r="G127" t="n">
        <v>9.5</v>
      </c>
      <c r="H127" t="inlineStr">
        <is>
          <t>AUD</t>
        </is>
      </c>
    </row>
    <row r="128">
      <c r="A128" t="inlineStr">
        <is>
          <t>B127</t>
        </is>
      </c>
      <c r="B128" t="inlineStr">
        <is>
          <t>A200</t>
        </is>
      </c>
      <c r="C128" s="5" t="n">
        <v>43984</v>
      </c>
      <c r="D128" t="n">
        <v>13</v>
      </c>
      <c r="E128" t="n">
        <v>98.2</v>
      </c>
      <c r="F128" t="inlineStr">
        <is>
          <t>AUD</t>
        </is>
      </c>
      <c r="G128" t="n">
        <v>9.5</v>
      </c>
      <c r="H128" t="inlineStr">
        <is>
          <t>AUD</t>
        </is>
      </c>
    </row>
    <row r="129">
      <c r="A129" t="inlineStr">
        <is>
          <t>B128</t>
        </is>
      </c>
      <c r="B129" t="inlineStr">
        <is>
          <t>VGS</t>
        </is>
      </c>
      <c r="C129" s="5" t="n">
        <v>43984</v>
      </c>
      <c r="D129" t="n">
        <v>21</v>
      </c>
      <c r="E129" t="n">
        <v>77.23</v>
      </c>
      <c r="F129" t="inlineStr">
        <is>
          <t>AUD</t>
        </is>
      </c>
      <c r="G129" t="n">
        <v>9.5</v>
      </c>
      <c r="H129" t="inlineStr">
        <is>
          <t>AUD</t>
        </is>
      </c>
    </row>
    <row r="130">
      <c r="A130" t="inlineStr">
        <is>
          <t>B129</t>
        </is>
      </c>
      <c r="B130" t="inlineStr">
        <is>
          <t>MSFT</t>
        </is>
      </c>
      <c r="C130" s="5" t="n">
        <v>43990</v>
      </c>
      <c r="D130" t="n">
        <v>4</v>
      </c>
      <c r="E130" t="n">
        <v>188.36</v>
      </c>
      <c r="F130" t="inlineStr">
        <is>
          <t>USD</t>
        </is>
      </c>
      <c r="G130" t="n">
        <v>5</v>
      </c>
      <c r="H130" t="inlineStr">
        <is>
          <t>USD</t>
        </is>
      </c>
    </row>
    <row r="131">
      <c r="A131" t="inlineStr">
        <is>
          <t>B130</t>
        </is>
      </c>
      <c r="B131" t="inlineStr">
        <is>
          <t>AMZN</t>
        </is>
      </c>
      <c r="C131" s="5" t="n">
        <v>44004</v>
      </c>
      <c r="D131" t="n">
        <v>1</v>
      </c>
      <c r="E131" t="n">
        <v>2713.8199</v>
      </c>
      <c r="F131" t="inlineStr">
        <is>
          <t>USD</t>
        </is>
      </c>
      <c r="G131" t="n">
        <v>5</v>
      </c>
      <c r="H131" t="inlineStr">
        <is>
          <t>USD</t>
        </is>
      </c>
    </row>
    <row r="132">
      <c r="A132" t="inlineStr">
        <is>
          <t>B131</t>
        </is>
      </c>
      <c r="B132" t="inlineStr">
        <is>
          <t>A200</t>
        </is>
      </c>
      <c r="C132" s="5" t="n">
        <v>44018</v>
      </c>
      <c r="D132" t="n">
        <v>13</v>
      </c>
      <c r="E132" t="n">
        <v>100.87</v>
      </c>
      <c r="F132" t="inlineStr">
        <is>
          <t>AUD</t>
        </is>
      </c>
      <c r="G132" t="n">
        <v>9.5</v>
      </c>
      <c r="H132" t="inlineStr">
        <is>
          <t>AUD</t>
        </is>
      </c>
    </row>
    <row r="133">
      <c r="A133" t="inlineStr">
        <is>
          <t>B132</t>
        </is>
      </c>
      <c r="B133" t="inlineStr">
        <is>
          <t>VGS</t>
        </is>
      </c>
      <c r="C133" s="5" t="n">
        <v>44018</v>
      </c>
      <c r="D133" t="n">
        <v>21</v>
      </c>
      <c r="E133" t="n">
        <v>77.89</v>
      </c>
      <c r="F133" t="inlineStr">
        <is>
          <t>AUD</t>
        </is>
      </c>
      <c r="G133" t="n">
        <v>9.5</v>
      </c>
      <c r="H133" t="inlineStr">
        <is>
          <t>AUD</t>
        </is>
      </c>
    </row>
    <row r="134">
      <c r="A134" t="inlineStr">
        <is>
          <t>B133</t>
        </is>
      </c>
      <c r="B134" t="inlineStr">
        <is>
          <t>MSFT</t>
        </is>
      </c>
      <c r="C134" s="5" t="n">
        <v>44025</v>
      </c>
      <c r="D134" t="n">
        <v>1</v>
      </c>
      <c r="E134" t="n">
        <v>207.07</v>
      </c>
      <c r="F134" t="inlineStr">
        <is>
          <t>USD</t>
        </is>
      </c>
      <c r="G134" t="n">
        <v>5</v>
      </c>
      <c r="H134" t="inlineStr">
        <is>
          <t>USD</t>
        </is>
      </c>
    </row>
    <row r="135">
      <c r="A135" t="inlineStr">
        <is>
          <t>B134</t>
        </is>
      </c>
      <c r="B135" t="inlineStr">
        <is>
          <t>AAPL</t>
        </is>
      </c>
      <c r="C135" s="5" t="n">
        <v>44039</v>
      </c>
      <c r="D135" t="n">
        <v>2</v>
      </c>
      <c r="E135" t="n">
        <v>379.24</v>
      </c>
      <c r="F135" t="inlineStr">
        <is>
          <t>USD</t>
        </is>
      </c>
      <c r="G135" t="n">
        <v>5</v>
      </c>
      <c r="H135" t="inlineStr">
        <is>
          <t>USD</t>
        </is>
      </c>
    </row>
    <row r="136">
      <c r="A136" t="inlineStr">
        <is>
          <t>B135</t>
        </is>
      </c>
      <c r="B136" t="inlineStr">
        <is>
          <t>AAPL</t>
        </is>
      </c>
      <c r="C136" s="5" t="n">
        <v>44040</v>
      </c>
      <c r="D136" t="n">
        <v>1</v>
      </c>
      <c r="E136" t="n">
        <v>373.01</v>
      </c>
      <c r="F136" t="inlineStr">
        <is>
          <t>USD</t>
        </is>
      </c>
      <c r="G136" t="n">
        <v>5</v>
      </c>
      <c r="H136" t="inlineStr">
        <is>
          <t>USD</t>
        </is>
      </c>
    </row>
    <row r="137">
      <c r="A137" t="inlineStr">
        <is>
          <t>B136</t>
        </is>
      </c>
      <c r="B137" t="inlineStr">
        <is>
          <t>A200</t>
        </is>
      </c>
      <c r="C137" s="5" t="n">
        <v>44046</v>
      </c>
      <c r="D137" t="n">
        <v>6</v>
      </c>
      <c r="E137" t="n">
        <v>99.06999999999999</v>
      </c>
      <c r="F137" t="inlineStr">
        <is>
          <t>AUD</t>
        </is>
      </c>
      <c r="G137" t="n">
        <v>9.5</v>
      </c>
      <c r="H137" t="inlineStr">
        <is>
          <t>AUD</t>
        </is>
      </c>
    </row>
    <row r="138">
      <c r="A138" t="inlineStr">
        <is>
          <t>B137</t>
        </is>
      </c>
      <c r="B138" t="inlineStr">
        <is>
          <t>VGS</t>
        </is>
      </c>
      <c r="C138" s="5" t="n">
        <v>44046</v>
      </c>
      <c r="D138" t="n">
        <v>10</v>
      </c>
      <c r="E138" t="n">
        <v>77.70999999999999</v>
      </c>
      <c r="F138" t="inlineStr">
        <is>
          <t>AUD</t>
        </is>
      </c>
      <c r="G138" t="n">
        <v>9.5</v>
      </c>
      <c r="H138" t="inlineStr">
        <is>
          <t>AUD</t>
        </is>
      </c>
    </row>
    <row r="139">
      <c r="A139" t="inlineStr">
        <is>
          <t>B138</t>
        </is>
      </c>
      <c r="B139" t="inlineStr">
        <is>
          <t>A200</t>
        </is>
      </c>
      <c r="C139" s="5" t="n">
        <v>44081</v>
      </c>
      <c r="D139" t="n">
        <v>15</v>
      </c>
      <c r="E139" t="n">
        <v>99.95</v>
      </c>
      <c r="F139" t="inlineStr">
        <is>
          <t>AUD</t>
        </is>
      </c>
      <c r="G139" t="n">
        <v>9.5</v>
      </c>
      <c r="H139" t="inlineStr">
        <is>
          <t>AUD</t>
        </is>
      </c>
    </row>
    <row r="140">
      <c r="A140" t="inlineStr">
        <is>
          <t>B139</t>
        </is>
      </c>
      <c r="B140" t="inlineStr">
        <is>
          <t>VGS</t>
        </is>
      </c>
      <c r="C140" s="5" t="n">
        <v>44081</v>
      </c>
      <c r="D140" t="n">
        <v>23</v>
      </c>
      <c r="E140" t="n">
        <v>79.28</v>
      </c>
      <c r="F140" t="inlineStr">
        <is>
          <t>AUD</t>
        </is>
      </c>
      <c r="G140" t="n">
        <v>9.5</v>
      </c>
      <c r="H140" t="inlineStr">
        <is>
          <t>AUD</t>
        </is>
      </c>
    </row>
    <row r="141">
      <c r="A141" t="inlineStr">
        <is>
          <t>B140</t>
        </is>
      </c>
      <c r="B141" t="inlineStr">
        <is>
          <t>AMZN</t>
        </is>
      </c>
      <c r="C141" s="5" t="n">
        <v>44083</v>
      </c>
      <c r="D141" t="n">
        <v>1</v>
      </c>
      <c r="E141" t="n">
        <v>3268.6099</v>
      </c>
      <c r="F141" t="inlineStr">
        <is>
          <t>USD</t>
        </is>
      </c>
      <c r="G141" t="n">
        <v>5</v>
      </c>
      <c r="H141" t="inlineStr">
        <is>
          <t>USD</t>
        </is>
      </c>
    </row>
    <row r="142">
      <c r="A142" t="inlineStr">
        <is>
          <t>B141</t>
        </is>
      </c>
      <c r="B142" t="inlineStr">
        <is>
          <t>A200</t>
        </is>
      </c>
      <c r="C142" s="5" t="n">
        <v>44109</v>
      </c>
      <c r="D142" t="n">
        <v>14</v>
      </c>
      <c r="E142" t="n">
        <v>99.53</v>
      </c>
      <c r="F142" t="inlineStr">
        <is>
          <t>AUD</t>
        </is>
      </c>
      <c r="G142" t="n">
        <v>9.5</v>
      </c>
      <c r="H142" t="inlineStr">
        <is>
          <t>AUD</t>
        </is>
      </c>
    </row>
    <row r="143">
      <c r="A143" t="inlineStr">
        <is>
          <t>B142</t>
        </is>
      </c>
      <c r="B143" t="inlineStr">
        <is>
          <t>VGS</t>
        </is>
      </c>
      <c r="C143" s="5" t="n">
        <v>44109</v>
      </c>
      <c r="D143" t="n">
        <v>22</v>
      </c>
      <c r="E143" t="n">
        <v>79.66</v>
      </c>
      <c r="F143" t="inlineStr">
        <is>
          <t>AUD</t>
        </is>
      </c>
      <c r="G143" t="n">
        <v>9.5</v>
      </c>
      <c r="H143" t="inlineStr">
        <is>
          <t>AUD</t>
        </is>
      </c>
    </row>
    <row r="144">
      <c r="A144" t="inlineStr">
        <is>
          <t>B143</t>
        </is>
      </c>
      <c r="B144" t="inlineStr">
        <is>
          <t>AAPL</t>
        </is>
      </c>
      <c r="C144" s="5" t="n">
        <v>44116</v>
      </c>
      <c r="D144" t="n">
        <v>6</v>
      </c>
      <c r="E144" t="n">
        <v>124.4</v>
      </c>
      <c r="F144" t="inlineStr">
        <is>
          <t>USD</t>
        </is>
      </c>
      <c r="G144" t="n">
        <v>5</v>
      </c>
      <c r="H144" t="inlineStr">
        <is>
          <t>USD</t>
        </is>
      </c>
    </row>
    <row r="145">
      <c r="A145" t="inlineStr">
        <is>
          <t>B144</t>
        </is>
      </c>
      <c r="B145" t="inlineStr">
        <is>
          <t>A200</t>
        </is>
      </c>
      <c r="C145" s="5" t="n">
        <v>44141</v>
      </c>
      <c r="D145" t="n">
        <v>8</v>
      </c>
      <c r="E145" t="n">
        <v>103.72</v>
      </c>
      <c r="F145" t="inlineStr">
        <is>
          <t>AUD</t>
        </is>
      </c>
      <c r="G145" t="n">
        <v>9.5</v>
      </c>
      <c r="H145" t="inlineStr">
        <is>
          <t>AUD</t>
        </is>
      </c>
    </row>
    <row r="146">
      <c r="A146" t="inlineStr">
        <is>
          <t>B145</t>
        </is>
      </c>
      <c r="B146" t="inlineStr">
        <is>
          <t>VGS</t>
        </is>
      </c>
      <c r="C146" s="5" t="n">
        <v>44141</v>
      </c>
      <c r="D146" t="n">
        <v>13</v>
      </c>
      <c r="E146" t="n">
        <v>81.22</v>
      </c>
      <c r="F146" t="inlineStr">
        <is>
          <t>AUD</t>
        </is>
      </c>
      <c r="G146" t="n">
        <v>9.5</v>
      </c>
      <c r="H146" t="inlineStr">
        <is>
          <t>AUD</t>
        </is>
      </c>
    </row>
    <row r="147">
      <c r="A147" t="inlineStr">
        <is>
          <t>B146</t>
        </is>
      </c>
      <c r="B147" t="inlineStr">
        <is>
          <t>A200</t>
        </is>
      </c>
      <c r="C147" s="5" t="n">
        <v>44172</v>
      </c>
      <c r="D147" t="n">
        <v>13</v>
      </c>
      <c r="E147" t="n">
        <v>112.11</v>
      </c>
      <c r="F147" t="inlineStr">
        <is>
          <t>AUD</t>
        </is>
      </c>
      <c r="G147" t="n">
        <v>9.5</v>
      </c>
      <c r="H147" t="inlineStr">
        <is>
          <t>AUD</t>
        </is>
      </c>
    </row>
    <row r="148">
      <c r="A148" t="inlineStr">
        <is>
          <t>B147</t>
        </is>
      </c>
      <c r="B148" t="inlineStr">
        <is>
          <t>VGS</t>
        </is>
      </c>
      <c r="C148" s="5" t="n">
        <v>44172</v>
      </c>
      <c r="D148" t="n">
        <v>22</v>
      </c>
      <c r="E148" t="n">
        <v>85.37</v>
      </c>
      <c r="F148" t="inlineStr">
        <is>
          <t>AUD</t>
        </is>
      </c>
      <c r="G148" t="n">
        <v>9.5</v>
      </c>
      <c r="H148" t="inlineStr">
        <is>
          <t>AUD</t>
        </is>
      </c>
    </row>
    <row r="149">
      <c r="A149" t="inlineStr">
        <is>
          <t>B148</t>
        </is>
      </c>
      <c r="B149" t="inlineStr">
        <is>
          <t>A200</t>
        </is>
      </c>
      <c r="C149" s="5" t="n">
        <v>44200</v>
      </c>
      <c r="D149" t="n">
        <v>9</v>
      </c>
      <c r="E149" t="n">
        <v>111.66</v>
      </c>
      <c r="F149" t="inlineStr">
        <is>
          <t>AUD</t>
        </is>
      </c>
      <c r="G149" t="n">
        <v>9.5</v>
      </c>
      <c r="H149" t="inlineStr">
        <is>
          <t>AUD</t>
        </is>
      </c>
    </row>
    <row r="150">
      <c r="A150" t="inlineStr">
        <is>
          <t>B149</t>
        </is>
      </c>
      <c r="B150" t="inlineStr">
        <is>
          <t>VGS</t>
        </is>
      </c>
      <c r="C150" s="5" t="n">
        <v>44200</v>
      </c>
      <c r="D150" t="n">
        <v>15</v>
      </c>
      <c r="E150" t="n">
        <v>83.83</v>
      </c>
      <c r="F150" t="inlineStr">
        <is>
          <t>AUD</t>
        </is>
      </c>
      <c r="G150" t="n">
        <v>9.5</v>
      </c>
      <c r="H150" t="inlineStr">
        <is>
          <t>AUD</t>
        </is>
      </c>
    </row>
    <row r="151">
      <c r="A151" t="inlineStr">
        <is>
          <t>B150</t>
        </is>
      </c>
      <c r="B151" t="inlineStr">
        <is>
          <t>A200</t>
        </is>
      </c>
      <c r="C151" s="5" t="n">
        <v>44230</v>
      </c>
      <c r="D151" t="n">
        <v>13</v>
      </c>
      <c r="E151" t="n">
        <v>114.51</v>
      </c>
      <c r="F151" t="inlineStr">
        <is>
          <t>AUD</t>
        </is>
      </c>
      <c r="G151" t="n">
        <v>9.5</v>
      </c>
      <c r="H151" t="inlineStr">
        <is>
          <t>AUD</t>
        </is>
      </c>
    </row>
    <row r="152">
      <c r="A152" t="inlineStr">
        <is>
          <t>B151</t>
        </is>
      </c>
      <c r="B152" t="inlineStr">
        <is>
          <t>VGS</t>
        </is>
      </c>
      <c r="C152" s="5" t="n">
        <v>44230</v>
      </c>
      <c r="D152" t="n">
        <v>21</v>
      </c>
      <c r="E152" t="n">
        <v>86.47</v>
      </c>
      <c r="F152" t="inlineStr">
        <is>
          <t>AUD</t>
        </is>
      </c>
      <c r="G152" t="n">
        <v>9.5</v>
      </c>
      <c r="H152" t="inlineStr">
        <is>
          <t>AUD</t>
        </is>
      </c>
    </row>
    <row r="153">
      <c r="A153" t="inlineStr">
        <is>
          <t>B152</t>
        </is>
      </c>
      <c r="B153" t="inlineStr">
        <is>
          <t>CBA</t>
        </is>
      </c>
      <c r="C153" s="5" t="n">
        <v>44243</v>
      </c>
      <c r="D153" t="n">
        <v>7</v>
      </c>
      <c r="E153" t="n">
        <v>85.91</v>
      </c>
      <c r="F153" t="inlineStr">
        <is>
          <t>AUD</t>
        </is>
      </c>
      <c r="G153" t="n">
        <v>19.95</v>
      </c>
      <c r="H153" t="inlineStr">
        <is>
          <t>AUD</t>
        </is>
      </c>
    </row>
    <row r="154">
      <c r="A154" t="inlineStr">
        <is>
          <t>B153</t>
        </is>
      </c>
      <c r="B154" t="inlineStr">
        <is>
          <t>A200</t>
        </is>
      </c>
      <c r="C154" s="5" t="n">
        <v>44259</v>
      </c>
      <c r="D154" t="n">
        <v>10</v>
      </c>
      <c r="E154" t="n">
        <v>113.99</v>
      </c>
      <c r="F154" t="inlineStr">
        <is>
          <t>AUD</t>
        </is>
      </c>
      <c r="G154" t="n">
        <v>9.5</v>
      </c>
      <c r="H154" t="inlineStr">
        <is>
          <t>AUD</t>
        </is>
      </c>
    </row>
    <row r="155">
      <c r="A155" t="inlineStr">
        <is>
          <t>B154</t>
        </is>
      </c>
      <c r="B155" t="inlineStr">
        <is>
          <t>VGS</t>
        </is>
      </c>
      <c r="C155" s="5" t="n">
        <v>44259</v>
      </c>
      <c r="D155" t="n">
        <v>16</v>
      </c>
      <c r="E155" t="n">
        <v>83.81</v>
      </c>
      <c r="F155" t="inlineStr">
        <is>
          <t>AUD</t>
        </is>
      </c>
      <c r="G155" t="n">
        <v>9.5</v>
      </c>
      <c r="H155" t="inlineStr">
        <is>
          <t>AUD</t>
        </is>
      </c>
    </row>
    <row r="156">
      <c r="A156" t="inlineStr">
        <is>
          <t>B155</t>
        </is>
      </c>
      <c r="B156" t="inlineStr">
        <is>
          <t>A200</t>
        </is>
      </c>
      <c r="C156" s="5" t="n">
        <v>44292</v>
      </c>
      <c r="D156" t="n">
        <v>9</v>
      </c>
      <c r="E156" t="n">
        <v>116</v>
      </c>
      <c r="F156" t="inlineStr">
        <is>
          <t>AUD</t>
        </is>
      </c>
      <c r="G156" t="n">
        <v>9.5</v>
      </c>
      <c r="H156" t="inlineStr">
        <is>
          <t>AUD</t>
        </is>
      </c>
    </row>
    <row r="157">
      <c r="A157" t="inlineStr">
        <is>
          <t>B156</t>
        </is>
      </c>
      <c r="B157" t="inlineStr">
        <is>
          <t>VGS</t>
        </is>
      </c>
      <c r="C157" s="5" t="n">
        <v>44292</v>
      </c>
      <c r="D157" t="n">
        <v>15</v>
      </c>
      <c r="E157" t="n">
        <v>90.06999999999999</v>
      </c>
      <c r="F157" t="inlineStr">
        <is>
          <t>AUD</t>
        </is>
      </c>
      <c r="G157" t="n">
        <v>9.5</v>
      </c>
      <c r="H157" t="inlineStr">
        <is>
          <t>AUD</t>
        </is>
      </c>
    </row>
    <row r="158">
      <c r="A158" t="inlineStr">
        <is>
          <t>B157</t>
        </is>
      </c>
      <c r="B158" t="inlineStr">
        <is>
          <t>MSFT</t>
        </is>
      </c>
      <c r="C158" s="5" t="n">
        <v>44312</v>
      </c>
      <c r="D158" t="n">
        <v>3</v>
      </c>
      <c r="E158" t="n">
        <v>261.55</v>
      </c>
      <c r="F158" t="inlineStr">
        <is>
          <t>USD</t>
        </is>
      </c>
      <c r="G158" t="n">
        <v>5</v>
      </c>
      <c r="H158" t="inlineStr">
        <is>
          <t>USD</t>
        </is>
      </c>
    </row>
    <row r="159">
      <c r="A159" t="inlineStr">
        <is>
          <t>B158</t>
        </is>
      </c>
      <c r="B159" t="inlineStr">
        <is>
          <t>A200</t>
        </is>
      </c>
      <c r="C159" s="5" t="n">
        <v>44319</v>
      </c>
      <c r="D159" t="n">
        <v>13</v>
      </c>
      <c r="E159" t="n">
        <v>118.52</v>
      </c>
      <c r="F159" t="inlineStr">
        <is>
          <t>AUD</t>
        </is>
      </c>
      <c r="G159" t="n">
        <v>9.5</v>
      </c>
      <c r="H159" t="inlineStr">
        <is>
          <t>AUD</t>
        </is>
      </c>
    </row>
    <row r="160">
      <c r="A160" t="inlineStr">
        <is>
          <t>B159</t>
        </is>
      </c>
      <c r="B160" t="inlineStr">
        <is>
          <t>VGS</t>
        </is>
      </c>
      <c r="C160" s="5" t="n">
        <v>44319</v>
      </c>
      <c r="D160" t="n">
        <v>21</v>
      </c>
      <c r="E160" t="n">
        <v>91.69</v>
      </c>
      <c r="F160" t="inlineStr">
        <is>
          <t>AUD</t>
        </is>
      </c>
      <c r="G160" t="n">
        <v>9.5</v>
      </c>
      <c r="H160" t="inlineStr">
        <is>
          <t>AUD</t>
        </is>
      </c>
    </row>
    <row r="161">
      <c r="A161" t="inlineStr">
        <is>
          <t>B160</t>
        </is>
      </c>
      <c r="B161" t="inlineStr">
        <is>
          <t>AMZN</t>
        </is>
      </c>
      <c r="C161" s="5" t="n">
        <v>44335</v>
      </c>
      <c r="D161" t="n">
        <v>1</v>
      </c>
      <c r="E161" t="n">
        <v>3231.7999</v>
      </c>
      <c r="F161" t="inlineStr">
        <is>
          <t>USD</t>
        </is>
      </c>
      <c r="G161" t="n">
        <v>5</v>
      </c>
      <c r="H161" t="inlineStr">
        <is>
          <t>USD</t>
        </is>
      </c>
    </row>
    <row r="162">
      <c r="A162" t="inlineStr">
        <is>
          <t>B161</t>
        </is>
      </c>
      <c r="B162" t="inlineStr">
        <is>
          <t>A200</t>
        </is>
      </c>
      <c r="C162" s="5" t="n">
        <v>44349</v>
      </c>
      <c r="D162" t="n">
        <v>5</v>
      </c>
      <c r="E162" t="n">
        <v>122.3</v>
      </c>
      <c r="F162" t="inlineStr">
        <is>
          <t>AUD</t>
        </is>
      </c>
      <c r="G162" t="n">
        <v>9.5</v>
      </c>
      <c r="H162" t="inlineStr">
        <is>
          <t>AUD</t>
        </is>
      </c>
    </row>
    <row r="163">
      <c r="A163" t="inlineStr">
        <is>
          <t>B162</t>
        </is>
      </c>
      <c r="B163" t="inlineStr">
        <is>
          <t>VGS</t>
        </is>
      </c>
      <c r="C163" s="5" t="n">
        <v>44349</v>
      </c>
      <c r="D163" t="n">
        <v>9</v>
      </c>
      <c r="E163" t="n">
        <v>92.7</v>
      </c>
      <c r="F163" t="inlineStr">
        <is>
          <t>AUD</t>
        </is>
      </c>
      <c r="G163" t="n">
        <v>9.5</v>
      </c>
      <c r="H163" t="inlineStr">
        <is>
          <t>AUD</t>
        </is>
      </c>
    </row>
    <row r="164">
      <c r="A164" t="inlineStr">
        <is>
          <t>B163</t>
        </is>
      </c>
      <c r="B164" t="inlineStr">
        <is>
          <t>A200</t>
        </is>
      </c>
      <c r="C164" s="5" t="n">
        <v>44382</v>
      </c>
      <c r="D164" t="n">
        <v>13</v>
      </c>
      <c r="E164" t="n">
        <v>123.43</v>
      </c>
      <c r="F164" t="inlineStr">
        <is>
          <t>AUD</t>
        </is>
      </c>
      <c r="G164" t="n">
        <v>9.5</v>
      </c>
      <c r="H164" t="inlineStr">
        <is>
          <t>AUD</t>
        </is>
      </c>
    </row>
    <row r="165">
      <c r="A165" t="inlineStr">
        <is>
          <t>B164</t>
        </is>
      </c>
      <c r="B165" t="inlineStr">
        <is>
          <t>VGS</t>
        </is>
      </c>
      <c r="C165" s="5" t="n">
        <v>44382</v>
      </c>
      <c r="D165" t="n">
        <v>21</v>
      </c>
      <c r="E165" t="n">
        <v>96.84999999999999</v>
      </c>
      <c r="F165" t="inlineStr">
        <is>
          <t>AUD</t>
        </is>
      </c>
      <c r="G165" t="n">
        <v>9.5</v>
      </c>
      <c r="H165" t="inlineStr">
        <is>
          <t>AUD</t>
        </is>
      </c>
    </row>
    <row r="166">
      <c r="A166" t="inlineStr">
        <is>
          <t>B165</t>
        </is>
      </c>
      <c r="B166" t="inlineStr">
        <is>
          <t>AMZN</t>
        </is>
      </c>
      <c r="C166" s="5" t="n">
        <v>44396</v>
      </c>
      <c r="D166" t="n">
        <v>1</v>
      </c>
      <c r="E166" t="n">
        <v>3549.5901</v>
      </c>
      <c r="F166" t="inlineStr">
        <is>
          <t>USD</t>
        </is>
      </c>
      <c r="G166" t="n">
        <v>5</v>
      </c>
      <c r="H166" t="inlineStr">
        <is>
          <t>USD</t>
        </is>
      </c>
    </row>
    <row r="167">
      <c r="A167" t="inlineStr">
        <is>
          <t>B166</t>
        </is>
      </c>
      <c r="B167" t="inlineStr">
        <is>
          <t>A200</t>
        </is>
      </c>
      <c r="C167" s="5" t="n">
        <v>44410</v>
      </c>
      <c r="D167" t="n">
        <v>9</v>
      </c>
      <c r="E167" t="n">
        <v>126.5</v>
      </c>
      <c r="F167" t="inlineStr">
        <is>
          <t>AUD</t>
        </is>
      </c>
      <c r="G167" t="n">
        <v>9.5</v>
      </c>
      <c r="H167" t="inlineStr">
        <is>
          <t>AUD</t>
        </is>
      </c>
    </row>
    <row r="168">
      <c r="A168" t="inlineStr">
        <is>
          <t>B167</t>
        </is>
      </c>
      <c r="B168" t="inlineStr">
        <is>
          <t>VGS</t>
        </is>
      </c>
      <c r="C168" s="5" t="n">
        <v>44410</v>
      </c>
      <c r="D168" t="n">
        <v>14</v>
      </c>
      <c r="E168" t="n">
        <v>100.68</v>
      </c>
      <c r="F168" t="inlineStr">
        <is>
          <t>AUD</t>
        </is>
      </c>
      <c r="G168" t="n">
        <v>9.5</v>
      </c>
      <c r="H168" t="inlineStr">
        <is>
          <t>AUD</t>
        </is>
      </c>
    </row>
    <row r="169">
      <c r="A169" t="inlineStr">
        <is>
          <t>B168</t>
        </is>
      </c>
      <c r="B169" t="inlineStr">
        <is>
          <t>A200</t>
        </is>
      </c>
      <c r="C169" s="5" t="n">
        <v>44445</v>
      </c>
      <c r="D169" t="n">
        <v>9</v>
      </c>
      <c r="E169" t="n">
        <v>128.64</v>
      </c>
      <c r="F169" t="inlineStr">
        <is>
          <t>AUD</t>
        </is>
      </c>
      <c r="G169" t="n">
        <v>9.5</v>
      </c>
      <c r="H169" t="inlineStr">
        <is>
          <t>AUD</t>
        </is>
      </c>
    </row>
    <row r="170">
      <c r="A170" t="inlineStr">
        <is>
          <t>B169</t>
        </is>
      </c>
      <c r="B170" t="inlineStr">
        <is>
          <t>VGS</t>
        </is>
      </c>
      <c r="C170" s="5" t="n">
        <v>44445</v>
      </c>
      <c r="D170" t="n">
        <v>14</v>
      </c>
      <c r="E170" t="n">
        <v>102.2</v>
      </c>
      <c r="F170" t="inlineStr">
        <is>
          <t>AUD</t>
        </is>
      </c>
      <c r="G170" t="n">
        <v>9.5</v>
      </c>
      <c r="H170" t="inlineStr">
        <is>
          <t>AUD</t>
        </is>
      </c>
    </row>
    <row r="171">
      <c r="A171" t="inlineStr">
        <is>
          <t>B170</t>
        </is>
      </c>
      <c r="B171" t="inlineStr">
        <is>
          <t>A200</t>
        </is>
      </c>
      <c r="C171" s="5" t="n">
        <v>44474</v>
      </c>
      <c r="D171" t="n">
        <v>13</v>
      </c>
      <c r="E171" t="n">
        <v>122.28</v>
      </c>
      <c r="F171" t="inlineStr">
        <is>
          <t>AUD</t>
        </is>
      </c>
      <c r="G171" t="n">
        <v>9.5</v>
      </c>
      <c r="H171" t="inlineStr">
        <is>
          <t>AUD</t>
        </is>
      </c>
    </row>
    <row r="172">
      <c r="A172" t="inlineStr">
        <is>
          <t>B171</t>
        </is>
      </c>
      <c r="B172" t="inlineStr">
        <is>
          <t>MSFT</t>
        </is>
      </c>
      <c r="C172" s="5" t="n">
        <v>44474</v>
      </c>
      <c r="D172" t="n">
        <v>3</v>
      </c>
      <c r="E172" t="n">
        <v>288.76</v>
      </c>
      <c r="F172" t="inlineStr">
        <is>
          <t>USD</t>
        </is>
      </c>
      <c r="G172" t="n">
        <v>5</v>
      </c>
      <c r="H172" t="inlineStr">
        <is>
          <t>USD</t>
        </is>
      </c>
    </row>
    <row r="173">
      <c r="A173" t="inlineStr">
        <is>
          <t>B172</t>
        </is>
      </c>
      <c r="B173" t="inlineStr">
        <is>
          <t>VGS</t>
        </is>
      </c>
      <c r="C173" s="5" t="n">
        <v>44474</v>
      </c>
      <c r="D173" t="n">
        <v>20</v>
      </c>
      <c r="E173" t="n">
        <v>98.52</v>
      </c>
      <c r="F173" t="inlineStr">
        <is>
          <t>AUD</t>
        </is>
      </c>
      <c r="G173" t="n">
        <v>9.5</v>
      </c>
      <c r="H173" t="inlineStr">
        <is>
          <t>AUD</t>
        </is>
      </c>
    </row>
    <row r="174">
      <c r="A174" t="inlineStr">
        <is>
          <t>B173</t>
        </is>
      </c>
      <c r="B174" t="inlineStr">
        <is>
          <t>A200</t>
        </is>
      </c>
      <c r="C174" s="5" t="n">
        <v>44503</v>
      </c>
      <c r="D174" t="n">
        <v>6</v>
      </c>
      <c r="E174" t="n">
        <v>125.01</v>
      </c>
      <c r="F174" t="inlineStr">
        <is>
          <t>AUD</t>
        </is>
      </c>
      <c r="G174" t="n">
        <v>9.5</v>
      </c>
      <c r="H174" t="inlineStr">
        <is>
          <t>AUD</t>
        </is>
      </c>
    </row>
    <row r="175">
      <c r="A175" t="inlineStr">
        <is>
          <t>B174</t>
        </is>
      </c>
      <c r="B175" t="inlineStr">
        <is>
          <t>VGS</t>
        </is>
      </c>
      <c r="C175" s="5" t="n">
        <v>44503</v>
      </c>
      <c r="D175" t="n">
        <v>9</v>
      </c>
      <c r="E175" t="n">
        <v>102.76</v>
      </c>
      <c r="F175" t="inlineStr">
        <is>
          <t>AUD</t>
        </is>
      </c>
      <c r="G175" t="n">
        <v>9.5</v>
      </c>
      <c r="H175" t="inlineStr">
        <is>
          <t>AUD</t>
        </is>
      </c>
    </row>
    <row r="176">
      <c r="A176" t="inlineStr">
        <is>
          <t>B175</t>
        </is>
      </c>
      <c r="B176" t="inlineStr">
        <is>
          <t>AAPL</t>
        </is>
      </c>
      <c r="C176" s="5" t="n">
        <v>44526</v>
      </c>
      <c r="D176" t="n">
        <v>5</v>
      </c>
      <c r="E176" t="n">
        <v>156.81</v>
      </c>
      <c r="F176" t="inlineStr">
        <is>
          <t>USD</t>
        </is>
      </c>
      <c r="G176" t="n">
        <v>5</v>
      </c>
      <c r="H176" t="inlineStr">
        <is>
          <t>USD</t>
        </is>
      </c>
    </row>
    <row r="177">
      <c r="A177" t="inlineStr">
        <is>
          <t>B176</t>
        </is>
      </c>
      <c r="B177" t="inlineStr">
        <is>
          <t>A200</t>
        </is>
      </c>
      <c r="C177" s="5" t="n">
        <v>44536</v>
      </c>
      <c r="D177" t="n">
        <v>10</v>
      </c>
      <c r="E177" t="n">
        <v>123.14</v>
      </c>
      <c r="F177" t="inlineStr">
        <is>
          <t>AUD</t>
        </is>
      </c>
      <c r="G177" t="n">
        <v>9.5</v>
      </c>
      <c r="H177" t="inlineStr">
        <is>
          <t>AUD</t>
        </is>
      </c>
    </row>
    <row r="178">
      <c r="A178" t="inlineStr">
        <is>
          <t>B177</t>
        </is>
      </c>
      <c r="B178" t="inlineStr">
        <is>
          <t>VGS</t>
        </is>
      </c>
      <c r="C178" s="5" t="n">
        <v>44536</v>
      </c>
      <c r="D178" t="n">
        <v>14</v>
      </c>
      <c r="E178" t="n">
        <v>105.94</v>
      </c>
      <c r="F178" t="inlineStr">
        <is>
          <t>AUD</t>
        </is>
      </c>
      <c r="G178" t="n">
        <v>9.5</v>
      </c>
      <c r="H178" t="inlineStr">
        <is>
          <t>AUD</t>
        </is>
      </c>
    </row>
    <row r="179">
      <c r="A179" t="inlineStr">
        <is>
          <t>B178</t>
        </is>
      </c>
      <c r="B179" t="inlineStr">
        <is>
          <t>AAPL</t>
        </is>
      </c>
      <c r="C179" s="5" t="n">
        <v>44543</v>
      </c>
      <c r="D179" t="n">
        <v>4</v>
      </c>
      <c r="E179" t="n">
        <v>175.74</v>
      </c>
      <c r="F179" t="inlineStr">
        <is>
          <t>USD</t>
        </is>
      </c>
      <c r="G179" t="n">
        <v>5</v>
      </c>
      <c r="H179" t="inlineStr">
        <is>
          <t>USD</t>
        </is>
      </c>
    </row>
    <row r="180">
      <c r="A180" t="inlineStr">
        <is>
          <t>B179</t>
        </is>
      </c>
      <c r="B180" t="inlineStr">
        <is>
          <t>AAPL</t>
        </is>
      </c>
      <c r="C180" s="5" t="n">
        <v>44550</v>
      </c>
      <c r="D180" t="n">
        <v>3</v>
      </c>
      <c r="E180" t="n">
        <v>169.75</v>
      </c>
      <c r="F180" t="inlineStr">
        <is>
          <t>USD</t>
        </is>
      </c>
      <c r="G180" t="n">
        <v>5</v>
      </c>
      <c r="H180" t="inlineStr">
        <is>
          <t>USD</t>
        </is>
      </c>
    </row>
    <row r="181">
      <c r="A181" t="inlineStr">
        <is>
          <t>B180</t>
        </is>
      </c>
      <c r="B181" t="inlineStr">
        <is>
          <t>A200</t>
        </is>
      </c>
      <c r="C181" s="5" t="n">
        <v>44565</v>
      </c>
      <c r="D181" t="n">
        <v>9</v>
      </c>
      <c r="E181" t="n">
        <v>128.37</v>
      </c>
      <c r="F181" t="inlineStr">
        <is>
          <t>AUD</t>
        </is>
      </c>
      <c r="G181" t="n">
        <v>9.5</v>
      </c>
      <c r="H181" t="inlineStr">
        <is>
          <t>AUD</t>
        </is>
      </c>
    </row>
    <row r="182">
      <c r="A182" t="inlineStr">
        <is>
          <t>B181</t>
        </is>
      </c>
      <c r="B182" t="inlineStr">
        <is>
          <t>VGS</t>
        </is>
      </c>
      <c r="C182" s="5" t="n">
        <v>44565</v>
      </c>
      <c r="D182" t="n">
        <v>14</v>
      </c>
      <c r="E182" t="n">
        <v>107.94</v>
      </c>
      <c r="F182" t="inlineStr">
        <is>
          <t>AUD</t>
        </is>
      </c>
      <c r="G182" t="n">
        <v>9.5</v>
      </c>
      <c r="H182" t="inlineStr">
        <is>
          <t>AUD</t>
        </is>
      </c>
    </row>
    <row r="183">
      <c r="A183" t="inlineStr">
        <is>
          <t>B182</t>
        </is>
      </c>
      <c r="B183" t="inlineStr">
        <is>
          <t>MSFT</t>
        </is>
      </c>
      <c r="C183" s="5" t="n">
        <v>44588</v>
      </c>
      <c r="D183" t="n">
        <v>2</v>
      </c>
      <c r="E183" t="n">
        <v>299.84</v>
      </c>
      <c r="F183" t="inlineStr">
        <is>
          <t>USD</t>
        </is>
      </c>
      <c r="G183" t="n">
        <v>5</v>
      </c>
      <c r="H183" t="inlineStr">
        <is>
          <t>USD</t>
        </is>
      </c>
    </row>
    <row r="184">
      <c r="A184" t="inlineStr">
        <is>
          <t>B183</t>
        </is>
      </c>
      <c r="B184" t="inlineStr">
        <is>
          <t>AAPL</t>
        </is>
      </c>
      <c r="C184" s="5" t="n">
        <v>44596</v>
      </c>
      <c r="D184" t="n">
        <v>2</v>
      </c>
      <c r="E184" t="n">
        <v>172.39</v>
      </c>
      <c r="F184" t="inlineStr">
        <is>
          <t>USD</t>
        </is>
      </c>
      <c r="G184" t="n">
        <v>5</v>
      </c>
      <c r="H184" t="inlineStr">
        <is>
          <t>USD</t>
        </is>
      </c>
    </row>
    <row r="185">
      <c r="A185" t="inlineStr">
        <is>
          <t>B184</t>
        </is>
      </c>
      <c r="B185" t="inlineStr">
        <is>
          <t>A200</t>
        </is>
      </c>
      <c r="C185" s="5" t="n">
        <v>44599</v>
      </c>
      <c r="D185" t="n">
        <v>5</v>
      </c>
      <c r="E185" t="n">
        <v>120.45</v>
      </c>
      <c r="F185" t="inlineStr">
        <is>
          <t>AUD</t>
        </is>
      </c>
      <c r="G185" t="n">
        <v>9.5</v>
      </c>
      <c r="H185" t="inlineStr">
        <is>
          <t>AUD</t>
        </is>
      </c>
    </row>
    <row r="186">
      <c r="A186" t="inlineStr">
        <is>
          <t>B185</t>
        </is>
      </c>
      <c r="B186" t="inlineStr">
        <is>
          <t>VGS</t>
        </is>
      </c>
      <c r="C186" s="5" t="n">
        <v>44599</v>
      </c>
      <c r="D186" t="n">
        <v>8</v>
      </c>
      <c r="E186" t="n">
        <v>103.43</v>
      </c>
      <c r="F186" t="inlineStr">
        <is>
          <t>AUD</t>
        </is>
      </c>
      <c r="G186" t="n">
        <v>9.5</v>
      </c>
      <c r="H186" t="inlineStr">
        <is>
          <t>AUD</t>
        </is>
      </c>
    </row>
    <row r="187">
      <c r="A187" t="inlineStr">
        <is>
          <t>B186</t>
        </is>
      </c>
      <c r="B187" t="inlineStr">
        <is>
          <t>BHP</t>
        </is>
      </c>
      <c r="C187" s="5" t="n">
        <v>44607</v>
      </c>
      <c r="D187" t="n">
        <v>26</v>
      </c>
      <c r="E187" t="n">
        <v>42.8998</v>
      </c>
      <c r="F187" t="inlineStr">
        <is>
          <t>AUD</t>
        </is>
      </c>
      <c r="G187" t="n">
        <v>19.95</v>
      </c>
      <c r="H187" t="inlineStr">
        <is>
          <t>AUD</t>
        </is>
      </c>
    </row>
    <row r="188">
      <c r="A188" t="inlineStr">
        <is>
          <t>B187</t>
        </is>
      </c>
      <c r="B188" t="inlineStr">
        <is>
          <t>A200</t>
        </is>
      </c>
      <c r="C188" s="5" t="n">
        <v>44623</v>
      </c>
      <c r="D188" t="n">
        <v>5</v>
      </c>
      <c r="E188" t="n">
        <v>122.61</v>
      </c>
      <c r="F188" t="inlineStr">
        <is>
          <t>AUD</t>
        </is>
      </c>
      <c r="G188" t="n">
        <v>9.5</v>
      </c>
      <c r="H188" t="inlineStr">
        <is>
          <t>AUD</t>
        </is>
      </c>
    </row>
    <row r="189">
      <c r="A189" t="inlineStr">
        <is>
          <t>B188</t>
        </is>
      </c>
      <c r="B189" t="inlineStr">
        <is>
          <t>VGS</t>
        </is>
      </c>
      <c r="C189" s="5" t="n">
        <v>44623</v>
      </c>
      <c r="D189" t="n">
        <v>9</v>
      </c>
      <c r="E189" t="n">
        <v>97.41</v>
      </c>
      <c r="F189" t="inlineStr">
        <is>
          <t>AUD</t>
        </is>
      </c>
      <c r="G189" t="n">
        <v>9.5</v>
      </c>
      <c r="H189" t="inlineStr">
        <is>
          <t>AUD</t>
        </is>
      </c>
    </row>
    <row r="190">
      <c r="A190" t="inlineStr">
        <is>
          <t>B189</t>
        </is>
      </c>
      <c r="B190" t="inlineStr">
        <is>
          <t>AMZN</t>
        </is>
      </c>
      <c r="C190" s="5" t="n">
        <v>44627</v>
      </c>
      <c r="D190" t="n">
        <v>1</v>
      </c>
      <c r="E190" t="n">
        <v>2749.0601</v>
      </c>
      <c r="F190" t="inlineStr">
        <is>
          <t>USD</t>
        </is>
      </c>
      <c r="G190" t="n">
        <v>5</v>
      </c>
      <c r="H190" t="inlineStr">
        <is>
          <t>USD</t>
        </is>
      </c>
    </row>
    <row r="191">
      <c r="A191" t="inlineStr">
        <is>
          <t>B190</t>
        </is>
      </c>
      <c r="B191" t="inlineStr">
        <is>
          <t>A200</t>
        </is>
      </c>
      <c r="C191" s="5" t="n">
        <v>44655</v>
      </c>
      <c r="D191" t="n">
        <v>9</v>
      </c>
      <c r="E191" t="n">
        <v>127.85</v>
      </c>
      <c r="F191" t="inlineStr">
        <is>
          <t>AUD</t>
        </is>
      </c>
      <c r="G191" t="n">
        <v>9.5</v>
      </c>
      <c r="H191" t="inlineStr">
        <is>
          <t>AUD</t>
        </is>
      </c>
    </row>
    <row r="192">
      <c r="A192" t="inlineStr">
        <is>
          <t>B191</t>
        </is>
      </c>
      <c r="B192" t="inlineStr">
        <is>
          <t>AAPL</t>
        </is>
      </c>
      <c r="C192" s="5" t="n">
        <v>44655</v>
      </c>
      <c r="D192" t="n">
        <v>4</v>
      </c>
      <c r="E192" t="n">
        <v>178.44</v>
      </c>
      <c r="F192" t="inlineStr">
        <is>
          <t>USD</t>
        </is>
      </c>
      <c r="G192" t="n">
        <v>5</v>
      </c>
      <c r="H192" t="inlineStr">
        <is>
          <t>USD</t>
        </is>
      </c>
    </row>
    <row r="193">
      <c r="A193" t="inlineStr">
        <is>
          <t>B192</t>
        </is>
      </c>
      <c r="B193" t="inlineStr">
        <is>
          <t>VGS</t>
        </is>
      </c>
      <c r="C193" s="5" t="n">
        <v>44655</v>
      </c>
      <c r="D193" t="n">
        <v>14</v>
      </c>
      <c r="E193" t="n">
        <v>97.23</v>
      </c>
      <c r="F193" t="inlineStr">
        <is>
          <t>AUD</t>
        </is>
      </c>
      <c r="G193" t="n">
        <v>9.5</v>
      </c>
      <c r="H193" t="inlineStr">
        <is>
          <t>AUD</t>
        </is>
      </c>
    </row>
    <row r="194">
      <c r="A194" t="inlineStr">
        <is>
          <t>B193</t>
        </is>
      </c>
      <c r="B194" t="inlineStr">
        <is>
          <t>A200</t>
        </is>
      </c>
      <c r="C194" s="5" t="n">
        <v>44684</v>
      </c>
      <c r="D194" t="n">
        <v>9</v>
      </c>
      <c r="E194" t="n">
        <v>124.85</v>
      </c>
      <c r="F194" t="inlineStr">
        <is>
          <t>AUD</t>
        </is>
      </c>
      <c r="G194" t="n">
        <v>9.5</v>
      </c>
      <c r="H194" t="inlineStr">
        <is>
          <t>AUD</t>
        </is>
      </c>
    </row>
    <row r="195">
      <c r="A195" t="inlineStr">
        <is>
          <t>B194</t>
        </is>
      </c>
      <c r="B195" t="inlineStr">
        <is>
          <t>VGS</t>
        </is>
      </c>
      <c r="C195" s="5" t="n">
        <v>44684</v>
      </c>
      <c r="D195" t="n">
        <v>15</v>
      </c>
      <c r="E195" t="n">
        <v>93.89</v>
      </c>
      <c r="F195" t="inlineStr">
        <is>
          <t>AUD</t>
        </is>
      </c>
      <c r="G195" t="n">
        <v>9.5</v>
      </c>
      <c r="H195" t="inlineStr">
        <is>
          <t>AUD</t>
        </is>
      </c>
    </row>
    <row r="196">
      <c r="A196" t="inlineStr">
        <is>
          <t>B195</t>
        </is>
      </c>
      <c r="B196" t="inlineStr">
        <is>
          <t>A200</t>
        </is>
      </c>
      <c r="C196" s="5" t="n">
        <v>44714</v>
      </c>
      <c r="D196" t="n">
        <v>6</v>
      </c>
      <c r="E196" t="n">
        <v>122.85</v>
      </c>
      <c r="F196" t="inlineStr">
        <is>
          <t>AUD</t>
        </is>
      </c>
      <c r="G196" t="n">
        <v>9.5</v>
      </c>
      <c r="H196" t="inlineStr">
        <is>
          <t>AUD</t>
        </is>
      </c>
    </row>
    <row r="197">
      <c r="A197" t="inlineStr">
        <is>
          <t>B196</t>
        </is>
      </c>
      <c r="B197" t="inlineStr">
        <is>
          <t>VGS</t>
        </is>
      </c>
      <c r="C197" s="5" t="n">
        <v>44714</v>
      </c>
      <c r="D197" t="n">
        <v>10</v>
      </c>
      <c r="E197" t="n">
        <v>92.56</v>
      </c>
      <c r="F197" t="inlineStr">
        <is>
          <t>AUD</t>
        </is>
      </c>
      <c r="G197" t="n">
        <v>9.5</v>
      </c>
      <c r="H197" t="inlineStr">
        <is>
          <t>AUD</t>
        </is>
      </c>
    </row>
    <row r="198">
      <c r="A198" t="inlineStr">
        <is>
          <t>B197</t>
        </is>
      </c>
      <c r="B198" t="inlineStr">
        <is>
          <t>AAPL</t>
        </is>
      </c>
      <c r="C198" s="5" t="n">
        <v>44735</v>
      </c>
      <c r="D198" t="n">
        <v>3</v>
      </c>
      <c r="E198" t="n">
        <v>138.27</v>
      </c>
      <c r="F198" t="inlineStr">
        <is>
          <t>USD</t>
        </is>
      </c>
      <c r="G198" t="n">
        <v>5</v>
      </c>
      <c r="H198" t="inlineStr">
        <is>
          <t>USD</t>
        </is>
      </c>
    </row>
    <row r="199">
      <c r="A199" t="inlineStr">
        <is>
          <t>B198</t>
        </is>
      </c>
      <c r="B199" t="inlineStr">
        <is>
          <t>A200</t>
        </is>
      </c>
      <c r="C199" s="5" t="n">
        <v>44748</v>
      </c>
      <c r="D199" t="n">
        <v>13</v>
      </c>
      <c r="E199" t="n">
        <v>109.69</v>
      </c>
      <c r="F199" t="inlineStr">
        <is>
          <t>AUD</t>
        </is>
      </c>
      <c r="G199" t="n">
        <v>9.5</v>
      </c>
      <c r="H199" t="inlineStr">
        <is>
          <t>AUD</t>
        </is>
      </c>
    </row>
    <row r="200">
      <c r="A200" t="inlineStr">
        <is>
          <t>B199</t>
        </is>
      </c>
      <c r="B200" t="inlineStr">
        <is>
          <t>VGS</t>
        </is>
      </c>
      <c r="C200" s="5" t="n">
        <v>44748</v>
      </c>
      <c r="D200" t="n">
        <v>20</v>
      </c>
      <c r="E200" t="n">
        <v>89.43000000000001</v>
      </c>
      <c r="F200" t="inlineStr">
        <is>
          <t>AUD</t>
        </is>
      </c>
      <c r="G200" t="n">
        <v>9.5</v>
      </c>
      <c r="H200" t="inlineStr">
        <is>
          <t>AUD</t>
        </is>
      </c>
    </row>
    <row r="201">
      <c r="A201" t="inlineStr">
        <is>
          <t>B200</t>
        </is>
      </c>
      <c r="B201" t="inlineStr">
        <is>
          <t>MSFT</t>
        </is>
      </c>
      <c r="C201" s="5" t="n">
        <v>44767</v>
      </c>
      <c r="D201" t="n">
        <v>3</v>
      </c>
      <c r="E201" t="n">
        <v>258.83</v>
      </c>
      <c r="F201" t="inlineStr">
        <is>
          <t>USD</t>
        </is>
      </c>
      <c r="G201" t="n">
        <v>5</v>
      </c>
      <c r="H201" t="inlineStr">
        <is>
          <t>USD</t>
        </is>
      </c>
    </row>
    <row r="202">
      <c r="A202" t="inlineStr">
        <is>
          <t>B201</t>
        </is>
      </c>
      <c r="B202" t="inlineStr">
        <is>
          <t>AAPL</t>
        </is>
      </c>
      <c r="C202" s="5" t="n">
        <v>44770</v>
      </c>
      <c r="D202" t="n">
        <v>3</v>
      </c>
      <c r="E202" t="n">
        <v>157.35</v>
      </c>
      <c r="F202" t="inlineStr">
        <is>
          <t>USD</t>
        </is>
      </c>
      <c r="G202" t="n">
        <v>5</v>
      </c>
      <c r="H202" t="inlineStr">
        <is>
          <t>USD</t>
        </is>
      </c>
    </row>
    <row r="203">
      <c r="A203" t="inlineStr">
        <is>
          <t>B202</t>
        </is>
      </c>
      <c r="B203" t="inlineStr">
        <is>
          <t>A200</t>
        </is>
      </c>
      <c r="C203" s="5" t="n">
        <v>44776</v>
      </c>
      <c r="D203" t="n">
        <v>9</v>
      </c>
      <c r="E203" t="n">
        <v>115.78</v>
      </c>
      <c r="F203" t="inlineStr">
        <is>
          <t>AUD</t>
        </is>
      </c>
      <c r="G203" t="n">
        <v>9.5</v>
      </c>
      <c r="H203" t="inlineStr">
        <is>
          <t>AUD</t>
        </is>
      </c>
    </row>
    <row r="204">
      <c r="A204" t="inlineStr">
        <is>
          <t>B203</t>
        </is>
      </c>
      <c r="B204" t="inlineStr">
        <is>
          <t>VGS</t>
        </is>
      </c>
      <c r="C204" s="5" t="n">
        <v>44776</v>
      </c>
      <c r="D204" t="n">
        <v>13</v>
      </c>
      <c r="E204" t="n">
        <v>93.98</v>
      </c>
      <c r="F204" t="inlineStr">
        <is>
          <t>AUD</t>
        </is>
      </c>
      <c r="G204" t="n">
        <v>9.5</v>
      </c>
      <c r="H204" t="inlineStr">
        <is>
          <t>AUD</t>
        </is>
      </c>
    </row>
    <row r="205">
      <c r="A205" t="inlineStr">
        <is>
          <t>B204</t>
        </is>
      </c>
      <c r="B205" t="inlineStr">
        <is>
          <t>A200</t>
        </is>
      </c>
      <c r="C205" s="5" t="n">
        <v>44809</v>
      </c>
      <c r="D205" t="n">
        <v>13</v>
      </c>
      <c r="E205" t="n">
        <v>115.35</v>
      </c>
      <c r="F205" t="inlineStr">
        <is>
          <t>AUD</t>
        </is>
      </c>
      <c r="G205" t="n">
        <v>9.5</v>
      </c>
      <c r="H205" t="inlineStr">
        <is>
          <t>AUD</t>
        </is>
      </c>
    </row>
    <row r="206">
      <c r="A206" t="inlineStr">
        <is>
          <t>B205</t>
        </is>
      </c>
      <c r="B206" t="inlineStr">
        <is>
          <t>VGS</t>
        </is>
      </c>
      <c r="C206" s="5" t="n">
        <v>44809</v>
      </c>
      <c r="D206" t="n">
        <v>20</v>
      </c>
      <c r="E206" t="n">
        <v>91.06</v>
      </c>
      <c r="F206" t="inlineStr">
        <is>
          <t>AUD</t>
        </is>
      </c>
      <c r="G206" t="n">
        <v>9.5</v>
      </c>
      <c r="H206" t="inlineStr">
        <is>
          <t>AUD</t>
        </is>
      </c>
    </row>
    <row r="207">
      <c r="A207" t="inlineStr">
        <is>
          <t>B206</t>
        </is>
      </c>
      <c r="B207" t="inlineStr">
        <is>
          <t>AMZN</t>
        </is>
      </c>
      <c r="C207" s="5" t="n">
        <v>44810</v>
      </c>
      <c r="D207" t="n">
        <v>3</v>
      </c>
      <c r="E207" t="n">
        <v>126.11</v>
      </c>
      <c r="F207" t="inlineStr">
        <is>
          <t>USD</t>
        </is>
      </c>
      <c r="G207" t="n">
        <v>5</v>
      </c>
      <c r="H207" t="inlineStr">
        <is>
          <t>USD</t>
        </is>
      </c>
    </row>
    <row r="208">
      <c r="A208" t="inlineStr">
        <is>
          <t>B207</t>
        </is>
      </c>
      <c r="B208" t="inlineStr">
        <is>
          <t>AMZN</t>
        </is>
      </c>
      <c r="C208" s="5" t="n">
        <v>44823</v>
      </c>
      <c r="D208" t="n">
        <v>4</v>
      </c>
      <c r="E208" t="n">
        <v>124.66</v>
      </c>
      <c r="F208" t="inlineStr">
        <is>
          <t>USD</t>
        </is>
      </c>
      <c r="G208" t="n">
        <v>5</v>
      </c>
      <c r="H208" t="inlineStr">
        <is>
          <t>USD</t>
        </is>
      </c>
    </row>
    <row r="209">
      <c r="A209" t="inlineStr">
        <is>
          <t>B208</t>
        </is>
      </c>
      <c r="B209" t="inlineStr">
        <is>
          <t>A200</t>
        </is>
      </c>
      <c r="C209" s="5" t="n">
        <v>44837</v>
      </c>
      <c r="D209" t="n">
        <v>9</v>
      </c>
      <c r="E209" t="n">
        <v>107.32</v>
      </c>
      <c r="F209" t="inlineStr">
        <is>
          <t>AUD</t>
        </is>
      </c>
      <c r="G209" t="n">
        <v>9.5</v>
      </c>
      <c r="H209" t="inlineStr">
        <is>
          <t>AUD</t>
        </is>
      </c>
    </row>
    <row r="210">
      <c r="A210" t="inlineStr">
        <is>
          <t>B209</t>
        </is>
      </c>
      <c r="B210" t="inlineStr">
        <is>
          <t>VGS</t>
        </is>
      </c>
      <c r="C210" s="5" t="n">
        <v>44837</v>
      </c>
      <c r="D210" t="n">
        <v>13</v>
      </c>
      <c r="E210" t="n">
        <v>87.88</v>
      </c>
      <c r="F210" t="inlineStr">
        <is>
          <t>AUD</t>
        </is>
      </c>
      <c r="G210" t="n">
        <v>9.5</v>
      </c>
      <c r="H210" t="inlineStr">
        <is>
          <t>AUD</t>
        </is>
      </c>
    </row>
    <row r="211">
      <c r="A211" t="inlineStr">
        <is>
          <t>B210</t>
        </is>
      </c>
      <c r="B211" t="inlineStr">
        <is>
          <t>MSFT</t>
        </is>
      </c>
      <c r="C211" s="5" t="n">
        <v>44859</v>
      </c>
      <c r="D211" t="n">
        <v>2</v>
      </c>
      <c r="E211" t="n">
        <v>250.66</v>
      </c>
      <c r="F211" t="inlineStr">
        <is>
          <t>USD</t>
        </is>
      </c>
      <c r="G211" t="n">
        <v>5</v>
      </c>
      <c r="H211" t="inlineStr">
        <is>
          <t>USD</t>
        </is>
      </c>
    </row>
    <row r="212">
      <c r="A212" t="inlineStr">
        <is>
          <t>B211</t>
        </is>
      </c>
      <c r="B212" t="inlineStr">
        <is>
          <t>A200</t>
        </is>
      </c>
      <c r="C212" s="5" t="n">
        <v>44872</v>
      </c>
      <c r="D212" t="n">
        <v>15</v>
      </c>
      <c r="E212" t="n">
        <v>115.49</v>
      </c>
      <c r="F212" t="inlineStr">
        <is>
          <t>AUD</t>
        </is>
      </c>
      <c r="G212" t="n">
        <v>9.5</v>
      </c>
      <c r="H212" t="inlineStr">
        <is>
          <t>AUD</t>
        </is>
      </c>
    </row>
    <row r="213">
      <c r="A213" t="inlineStr">
        <is>
          <t>B212</t>
        </is>
      </c>
      <c r="B213" t="inlineStr">
        <is>
          <t>VGS</t>
        </is>
      </c>
      <c r="C213" s="5" t="n">
        <v>44872</v>
      </c>
      <c r="D213" t="n">
        <v>23</v>
      </c>
      <c r="E213" t="n">
        <v>92.98</v>
      </c>
      <c r="F213" t="inlineStr">
        <is>
          <t>AUD</t>
        </is>
      </c>
      <c r="G213" t="n">
        <v>9.5</v>
      </c>
      <c r="H213" t="inlineStr">
        <is>
          <t>AUD</t>
        </is>
      </c>
    </row>
    <row r="214">
      <c r="A214" t="inlineStr">
        <is>
          <t>B213</t>
        </is>
      </c>
      <c r="B214" t="inlineStr">
        <is>
          <t>A200</t>
        </is>
      </c>
      <c r="C214" s="5" t="n">
        <v>44900</v>
      </c>
      <c r="D214" t="n">
        <v>9</v>
      </c>
      <c r="E214" t="n">
        <v>122.27</v>
      </c>
      <c r="F214" t="inlineStr">
        <is>
          <t>AUD</t>
        </is>
      </c>
      <c r="G214" t="n">
        <v>9.5</v>
      </c>
      <c r="H214" t="inlineStr">
        <is>
          <t>AUD</t>
        </is>
      </c>
    </row>
    <row r="215">
      <c r="A215" t="inlineStr">
        <is>
          <t>B214</t>
        </is>
      </c>
      <c r="B215" t="inlineStr">
        <is>
          <t>VGS</t>
        </is>
      </c>
      <c r="C215" s="5" t="n">
        <v>44900</v>
      </c>
      <c r="D215" t="n">
        <v>14</v>
      </c>
      <c r="E215" t="n">
        <v>95.47</v>
      </c>
      <c r="F215" t="inlineStr">
        <is>
          <t>AUD</t>
        </is>
      </c>
      <c r="G215" t="n">
        <v>9.5</v>
      </c>
      <c r="H215" t="inlineStr">
        <is>
          <t>AUD</t>
        </is>
      </c>
    </row>
    <row r="216">
      <c r="A216" t="inlineStr">
        <is>
          <t>B215</t>
        </is>
      </c>
      <c r="B216" t="inlineStr">
        <is>
          <t>A200</t>
        </is>
      </c>
      <c r="C216" s="5" t="n">
        <v>44931</v>
      </c>
      <c r="D216" t="n">
        <v>9</v>
      </c>
      <c r="E216" t="n">
        <v>116.98</v>
      </c>
      <c r="F216" t="inlineStr">
        <is>
          <t>AUD</t>
        </is>
      </c>
      <c r="G216" t="n">
        <v>9.5</v>
      </c>
      <c r="H216" t="inlineStr">
        <is>
          <t>AUD</t>
        </is>
      </c>
    </row>
    <row r="217">
      <c r="A217" t="inlineStr">
        <is>
          <t>B216</t>
        </is>
      </c>
      <c r="B217" t="inlineStr">
        <is>
          <t>VGS</t>
        </is>
      </c>
      <c r="C217" s="5" t="n">
        <v>44931</v>
      </c>
      <c r="D217" t="n">
        <v>15</v>
      </c>
      <c r="E217" t="n">
        <v>91.56</v>
      </c>
      <c r="F217" t="inlineStr">
        <is>
          <t>AUD</t>
        </is>
      </c>
      <c r="G217" t="n">
        <v>9.5</v>
      </c>
      <c r="H217" t="inlineStr">
        <is>
          <t>AUD</t>
        </is>
      </c>
    </row>
    <row r="218">
      <c r="A218" t="inlineStr">
        <is>
          <t>B217</t>
        </is>
      </c>
      <c r="B218" t="inlineStr">
        <is>
          <t>A200</t>
        </is>
      </c>
      <c r="C218" s="5" t="n">
        <v>44963</v>
      </c>
      <c r="D218" t="n">
        <v>12</v>
      </c>
      <c r="E218" t="n">
        <v>124.9</v>
      </c>
      <c r="F218" t="inlineStr">
        <is>
          <t>AUD</t>
        </is>
      </c>
      <c r="G218" t="n">
        <v>9.5</v>
      </c>
      <c r="H218" t="inlineStr">
        <is>
          <t>AUD</t>
        </is>
      </c>
    </row>
    <row r="219">
      <c r="A219" t="inlineStr">
        <is>
          <t>B218</t>
        </is>
      </c>
      <c r="B219" t="inlineStr">
        <is>
          <t>VGS</t>
        </is>
      </c>
      <c r="C219" s="5" t="n">
        <v>44963</v>
      </c>
      <c r="D219" t="n">
        <v>19</v>
      </c>
      <c r="E219" t="n">
        <v>96.29000000000001</v>
      </c>
      <c r="F219" t="inlineStr">
        <is>
          <t>AUD</t>
        </is>
      </c>
      <c r="G219" t="n">
        <v>9.5</v>
      </c>
      <c r="H219" t="inlineStr">
        <is>
          <t>AUD</t>
        </is>
      </c>
    </row>
    <row r="220">
      <c r="A220" t="inlineStr">
        <is>
          <t>B219</t>
        </is>
      </c>
      <c r="B220" t="inlineStr">
        <is>
          <t>AMZN</t>
        </is>
      </c>
      <c r="C220" s="5" t="n">
        <v>44973</v>
      </c>
      <c r="D220" t="n">
        <v>3</v>
      </c>
      <c r="E220" t="n">
        <v>98.15000000000001</v>
      </c>
      <c r="F220" t="inlineStr">
        <is>
          <t>USD</t>
        </is>
      </c>
      <c r="G220" t="n">
        <v>5</v>
      </c>
      <c r="H220" t="inlineStr">
        <is>
          <t>USD</t>
        </is>
      </c>
    </row>
    <row r="221">
      <c r="A221" t="inlineStr">
        <is>
          <t>B220</t>
        </is>
      </c>
      <c r="B221" t="inlineStr">
        <is>
          <t>MSFT</t>
        </is>
      </c>
      <c r="C221" s="5" t="n">
        <v>44984</v>
      </c>
      <c r="D221" t="n">
        <v>1</v>
      </c>
      <c r="E221" t="n">
        <v>250.16</v>
      </c>
      <c r="F221" t="inlineStr">
        <is>
          <t>USD</t>
        </is>
      </c>
      <c r="G221" t="n">
        <v>5</v>
      </c>
      <c r="H221" t="inlineStr">
        <is>
          <t>USD</t>
        </is>
      </c>
    </row>
    <row r="222">
      <c r="A222" t="inlineStr">
        <is>
          <t>B221</t>
        </is>
      </c>
      <c r="B222" t="inlineStr">
        <is>
          <t>A200</t>
        </is>
      </c>
      <c r="C222" s="5" t="n">
        <v>44988</v>
      </c>
      <c r="D222" t="n">
        <v>7</v>
      </c>
      <c r="E222" t="n">
        <v>121.3</v>
      </c>
      <c r="F222" t="inlineStr">
        <is>
          <t>AUD</t>
        </is>
      </c>
      <c r="G222" t="n">
        <v>9.5</v>
      </c>
      <c r="H222" t="inlineStr">
        <is>
          <t>AUD</t>
        </is>
      </c>
    </row>
    <row r="223">
      <c r="A223" t="inlineStr">
        <is>
          <t>B222</t>
        </is>
      </c>
      <c r="B223" t="inlineStr">
        <is>
          <t>VGS</t>
        </is>
      </c>
      <c r="C223" s="5" t="n">
        <v>44988</v>
      </c>
      <c r="D223" t="n">
        <v>12</v>
      </c>
      <c r="E223" t="n">
        <v>96.29000000000001</v>
      </c>
      <c r="F223" t="inlineStr">
        <is>
          <t>AUD</t>
        </is>
      </c>
      <c r="G223" t="n">
        <v>9.5</v>
      </c>
      <c r="H223" t="inlineStr">
        <is>
          <t>AUD</t>
        </is>
      </c>
    </row>
    <row r="224">
      <c r="A224" t="inlineStr">
        <is>
          <t>B223</t>
        </is>
      </c>
      <c r="B224" t="inlineStr">
        <is>
          <t>MSFT</t>
        </is>
      </c>
      <c r="C224" s="5" t="n">
        <v>45012</v>
      </c>
      <c r="D224" t="n">
        <v>2</v>
      </c>
      <c r="E224" t="n">
        <v>276.38</v>
      </c>
      <c r="F224" t="inlineStr">
        <is>
          <t>USD</t>
        </is>
      </c>
      <c r="G224" t="n">
        <v>5</v>
      </c>
      <c r="H224" t="inlineStr">
        <is>
          <t>USD</t>
        </is>
      </c>
    </row>
    <row r="225">
      <c r="A225" t="inlineStr">
        <is>
          <t>B224</t>
        </is>
      </c>
      <c r="B225" t="inlineStr">
        <is>
          <t>A200</t>
        </is>
      </c>
      <c r="C225" s="5" t="n">
        <v>45021</v>
      </c>
      <c r="D225" t="n">
        <v>10</v>
      </c>
      <c r="E225" t="n">
        <v>120.36</v>
      </c>
      <c r="F225" t="inlineStr">
        <is>
          <t>AUD</t>
        </is>
      </c>
      <c r="G225" t="n">
        <v>9.5</v>
      </c>
      <c r="H225" t="inlineStr">
        <is>
          <t>AUD</t>
        </is>
      </c>
    </row>
    <row r="226">
      <c r="A226" t="inlineStr">
        <is>
          <t>B225</t>
        </is>
      </c>
      <c r="B226" t="inlineStr">
        <is>
          <t>VGS</t>
        </is>
      </c>
      <c r="C226" s="5" t="n">
        <v>45021</v>
      </c>
      <c r="D226" t="n">
        <v>16</v>
      </c>
      <c r="E226" t="n">
        <v>99.01000000000001</v>
      </c>
      <c r="F226" t="inlineStr">
        <is>
          <t>AUD</t>
        </is>
      </c>
      <c r="G226" t="n">
        <v>9.5</v>
      </c>
      <c r="H226" t="inlineStr">
        <is>
          <t>AUD</t>
        </is>
      </c>
    </row>
    <row r="227">
      <c r="A227" t="inlineStr">
        <is>
          <t>B226</t>
        </is>
      </c>
      <c r="B227" t="inlineStr">
        <is>
          <t>A200</t>
        </is>
      </c>
      <c r="C227" s="5" t="n">
        <v>45049</v>
      </c>
      <c r="D227" t="n">
        <v>13</v>
      </c>
      <c r="E227" t="n">
        <v>119.66</v>
      </c>
      <c r="F227" t="inlineStr">
        <is>
          <t>AUD</t>
        </is>
      </c>
      <c r="G227" t="n">
        <v>9.5</v>
      </c>
      <c r="H227" t="inlineStr">
        <is>
          <t>AUD</t>
        </is>
      </c>
    </row>
    <row r="228">
      <c r="A228" t="inlineStr">
        <is>
          <t>B227</t>
        </is>
      </c>
      <c r="B228" t="inlineStr">
        <is>
          <t>VGS</t>
        </is>
      </c>
      <c r="C228" s="5" t="n">
        <v>45049</v>
      </c>
      <c r="D228" t="n">
        <v>19</v>
      </c>
      <c r="E228" t="n">
        <v>100.96</v>
      </c>
      <c r="F228" t="inlineStr">
        <is>
          <t>AUD</t>
        </is>
      </c>
      <c r="G228" t="n">
        <v>9.5</v>
      </c>
      <c r="H228" t="inlineStr">
        <is>
          <t>AUD</t>
        </is>
      </c>
    </row>
    <row r="229">
      <c r="A229" t="inlineStr">
        <is>
          <t>B228</t>
        </is>
      </c>
      <c r="B229" t="inlineStr">
        <is>
          <t>CBA</t>
        </is>
      </c>
      <c r="C229" s="5" t="n">
        <v>45054</v>
      </c>
      <c r="D229" t="n">
        <v>7</v>
      </c>
      <c r="E229" t="n">
        <v>97.12</v>
      </c>
      <c r="F229" t="inlineStr">
        <is>
          <t>AUD</t>
        </is>
      </c>
      <c r="G229" t="n">
        <v>19.95</v>
      </c>
      <c r="H229" t="inlineStr">
        <is>
          <t>AUD</t>
        </is>
      </c>
    </row>
    <row r="230">
      <c r="A230" t="inlineStr">
        <is>
          <t>B229</t>
        </is>
      </c>
      <c r="B230" t="inlineStr">
        <is>
          <t>A200</t>
        </is>
      </c>
      <c r="C230" s="5" t="n">
        <v>45082</v>
      </c>
      <c r="D230" t="n">
        <v>8</v>
      </c>
      <c r="E230" t="n">
        <v>120.52</v>
      </c>
      <c r="F230" t="inlineStr">
        <is>
          <t>AUD</t>
        </is>
      </c>
      <c r="G230" t="n">
        <v>9.5</v>
      </c>
      <c r="H230" t="inlineStr">
        <is>
          <t>AUD</t>
        </is>
      </c>
    </row>
    <row r="231">
      <c r="A231" t="inlineStr">
        <is>
          <t>B230</t>
        </is>
      </c>
      <c r="B231" t="inlineStr">
        <is>
          <t>VGS</t>
        </is>
      </c>
      <c r="C231" s="5" t="n">
        <v>45082</v>
      </c>
      <c r="D231" t="n">
        <v>12</v>
      </c>
      <c r="E231" t="n">
        <v>104.45</v>
      </c>
      <c r="F231" t="inlineStr">
        <is>
          <t>AUD</t>
        </is>
      </c>
      <c r="G231" t="n">
        <v>9.5</v>
      </c>
      <c r="H231" t="inlineStr">
        <is>
          <t>AUD</t>
        </is>
      </c>
    </row>
    <row r="232">
      <c r="A232" t="inlineStr">
        <is>
          <t>B231</t>
        </is>
      </c>
      <c r="B232" t="inlineStr">
        <is>
          <t>AMZN</t>
        </is>
      </c>
      <c r="C232" s="5" t="n">
        <v>45107</v>
      </c>
      <c r="D232" t="n">
        <v>7</v>
      </c>
      <c r="E232" t="n">
        <v>130.36</v>
      </c>
      <c r="F232" t="inlineStr">
        <is>
          <t>USD</t>
        </is>
      </c>
      <c r="G232" t="n">
        <v>5</v>
      </c>
      <c r="H232" t="inlineStr">
        <is>
          <t>USD</t>
        </is>
      </c>
    </row>
    <row r="233">
      <c r="A233" t="inlineStr">
        <is>
          <t>B232</t>
        </is>
      </c>
      <c r="B233" t="inlineStr">
        <is>
          <t>A200</t>
        </is>
      </c>
      <c r="C233" s="5" t="n">
        <v>45113</v>
      </c>
      <c r="D233" t="n">
        <v>7</v>
      </c>
      <c r="E233" t="n">
        <v>119.01</v>
      </c>
      <c r="F233" t="inlineStr">
        <is>
          <t>AUD</t>
        </is>
      </c>
      <c r="G233" t="n">
        <v>9.5</v>
      </c>
      <c r="H233" t="inlineStr">
        <is>
          <t>AUD</t>
        </is>
      </c>
    </row>
    <row r="234">
      <c r="A234" t="inlineStr">
        <is>
          <t>B233</t>
        </is>
      </c>
      <c r="B234" t="inlineStr">
        <is>
          <t>VGS</t>
        </is>
      </c>
      <c r="C234" s="5" t="n">
        <v>45113</v>
      </c>
      <c r="D234" t="n">
        <v>10</v>
      </c>
      <c r="E234" t="n">
        <v>105.29</v>
      </c>
      <c r="F234" t="inlineStr">
        <is>
          <t>AUD</t>
        </is>
      </c>
      <c r="G234" t="n">
        <v>9.5</v>
      </c>
      <c r="H234" t="inlineStr">
        <is>
          <t>AUD</t>
        </is>
      </c>
    </row>
    <row r="235">
      <c r="A235" t="inlineStr">
        <is>
          <t>B234</t>
        </is>
      </c>
      <c r="B235" t="inlineStr">
        <is>
          <t>A200</t>
        </is>
      </c>
      <c r="C235" s="5" t="n">
        <v>45142</v>
      </c>
      <c r="D235" t="n">
        <v>10</v>
      </c>
      <c r="E235" t="n">
        <v>121.72</v>
      </c>
      <c r="F235" t="inlineStr">
        <is>
          <t>AUD</t>
        </is>
      </c>
      <c r="G235" t="n">
        <v>9.5</v>
      </c>
      <c r="H235" t="inlineStr">
        <is>
          <t>AUD</t>
        </is>
      </c>
    </row>
    <row r="236">
      <c r="A236" t="inlineStr">
        <is>
          <t>B235</t>
        </is>
      </c>
      <c r="B236" t="inlineStr">
        <is>
          <t>VGS</t>
        </is>
      </c>
      <c r="C236" s="5" t="n">
        <v>45142</v>
      </c>
      <c r="D236" t="n">
        <v>13</v>
      </c>
      <c r="E236" t="n">
        <v>108.94</v>
      </c>
      <c r="F236" t="inlineStr">
        <is>
          <t>AUD</t>
        </is>
      </c>
      <c r="G236" t="n">
        <v>9.5</v>
      </c>
      <c r="H236" t="inlineStr">
        <is>
          <t>AUD</t>
        </is>
      </c>
    </row>
    <row r="237">
      <c r="A237" t="inlineStr">
        <is>
          <t>B236</t>
        </is>
      </c>
      <c r="B237" t="inlineStr">
        <is>
          <t>AAPL</t>
        </is>
      </c>
      <c r="C237" s="5" t="n">
        <v>45145</v>
      </c>
      <c r="D237" t="n">
        <v>3</v>
      </c>
      <c r="E237" t="n">
        <v>178.85</v>
      </c>
      <c r="F237" t="inlineStr">
        <is>
          <t>USD</t>
        </is>
      </c>
      <c r="G237" t="n">
        <v>5</v>
      </c>
      <c r="H237" t="inlineStr">
        <is>
          <t>USD</t>
        </is>
      </c>
    </row>
    <row r="238">
      <c r="A238" t="inlineStr">
        <is>
          <t>B237</t>
        </is>
      </c>
      <c r="B238" t="inlineStr">
        <is>
          <t>A200</t>
        </is>
      </c>
      <c r="C238" s="5" t="n">
        <v>45173</v>
      </c>
      <c r="D238" t="n">
        <v>10</v>
      </c>
      <c r="E238" t="n">
        <v>122.68</v>
      </c>
      <c r="F238" t="inlineStr">
        <is>
          <t>AUD</t>
        </is>
      </c>
      <c r="G238" t="n">
        <v>9.5</v>
      </c>
      <c r="H238" t="inlineStr">
        <is>
          <t>AUD</t>
        </is>
      </c>
    </row>
    <row r="239">
      <c r="A239" t="inlineStr">
        <is>
          <t>B238</t>
        </is>
      </c>
      <c r="B239" t="inlineStr">
        <is>
          <t>VGS</t>
        </is>
      </c>
      <c r="C239" s="5" t="n">
        <v>45173</v>
      </c>
      <c r="D239" t="n">
        <v>13</v>
      </c>
      <c r="E239" t="n">
        <v>110.32</v>
      </c>
      <c r="F239" t="inlineStr">
        <is>
          <t>AUD</t>
        </is>
      </c>
      <c r="G239" t="n">
        <v>9.5</v>
      </c>
      <c r="H239" t="inlineStr">
        <is>
          <t>AUD</t>
        </is>
      </c>
    </row>
    <row r="240">
      <c r="A240" t="inlineStr">
        <is>
          <t>B239</t>
        </is>
      </c>
      <c r="B240" t="inlineStr">
        <is>
          <t>AAPL</t>
        </is>
      </c>
      <c r="C240" s="5" t="n">
        <v>45174</v>
      </c>
      <c r="D240" t="n">
        <v>1</v>
      </c>
      <c r="E240" t="n">
        <v>189.7</v>
      </c>
      <c r="F240" t="inlineStr">
        <is>
          <t>USD</t>
        </is>
      </c>
      <c r="G240" t="n">
        <v>5</v>
      </c>
      <c r="H240" t="inlineStr">
        <is>
          <t>USD</t>
        </is>
      </c>
    </row>
    <row r="241">
      <c r="A241" t="inlineStr">
        <is>
          <t>B240</t>
        </is>
      </c>
      <c r="B241" t="inlineStr">
        <is>
          <t>AAPL</t>
        </is>
      </c>
      <c r="C241" s="5" t="n">
        <v>45180</v>
      </c>
      <c r="D241" t="n">
        <v>2</v>
      </c>
      <c r="E241" t="n">
        <v>179.36</v>
      </c>
      <c r="F241" t="inlineStr">
        <is>
          <t>USD</t>
        </is>
      </c>
      <c r="G241" t="n">
        <v>5</v>
      </c>
      <c r="H241" t="inlineStr">
        <is>
          <t>USD</t>
        </is>
      </c>
    </row>
    <row r="242">
      <c r="A242" t="inlineStr">
        <is>
          <t>B241</t>
        </is>
      </c>
      <c r="B242" t="inlineStr">
        <is>
          <t>MSFT</t>
        </is>
      </c>
      <c r="C242" s="5" t="n">
        <v>45191</v>
      </c>
      <c r="D242" t="n">
        <v>1</v>
      </c>
      <c r="E242" t="n">
        <v>317.01</v>
      </c>
      <c r="F242" t="inlineStr">
        <is>
          <t>USD</t>
        </is>
      </c>
      <c r="G242" t="n">
        <v>5</v>
      </c>
      <c r="H242" t="inlineStr">
        <is>
          <t>USD</t>
        </is>
      </c>
    </row>
    <row r="243">
      <c r="A243" t="inlineStr">
        <is>
          <t>B242</t>
        </is>
      </c>
      <c r="B243" t="inlineStr">
        <is>
          <t>A200</t>
        </is>
      </c>
      <c r="C243" s="5" t="n">
        <v>45205</v>
      </c>
      <c r="D243" t="n">
        <v>7</v>
      </c>
      <c r="E243" t="n">
        <v>115.56</v>
      </c>
      <c r="F243" t="inlineStr">
        <is>
          <t>AUD</t>
        </is>
      </c>
      <c r="G243" t="n">
        <v>9.5</v>
      </c>
      <c r="H243" t="inlineStr">
        <is>
          <t>AUD</t>
        </is>
      </c>
    </row>
    <row r="244">
      <c r="A244" t="inlineStr">
        <is>
          <t>B243</t>
        </is>
      </c>
      <c r="B244" t="inlineStr">
        <is>
          <t>VGS</t>
        </is>
      </c>
      <c r="C244" s="5" t="n">
        <v>45205</v>
      </c>
      <c r="D244" t="n">
        <v>9</v>
      </c>
      <c r="E244" t="n">
        <v>105.01</v>
      </c>
      <c r="F244" t="inlineStr">
        <is>
          <t>AUD</t>
        </is>
      </c>
      <c r="G244" t="n">
        <v>9.5</v>
      </c>
      <c r="H244" t="inlineStr">
        <is>
          <t>AUD</t>
        </is>
      </c>
    </row>
    <row r="245">
      <c r="A245" t="inlineStr">
        <is>
          <t>B244</t>
        </is>
      </c>
      <c r="B245" t="inlineStr">
        <is>
          <t>AMZN</t>
        </is>
      </c>
      <c r="C245" s="5" t="n">
        <v>45230</v>
      </c>
      <c r="D245" t="n">
        <v>6</v>
      </c>
      <c r="E245" t="n">
        <v>133.09</v>
      </c>
      <c r="F245" t="inlineStr">
        <is>
          <t>USD</t>
        </is>
      </c>
      <c r="G245" t="n">
        <v>5</v>
      </c>
      <c r="H245" t="inlineStr">
        <is>
          <t>USD</t>
        </is>
      </c>
    </row>
    <row r="246">
      <c r="A246" t="inlineStr">
        <is>
          <t>B245</t>
        </is>
      </c>
      <c r="B246" t="inlineStr">
        <is>
          <t>A200</t>
        </is>
      </c>
      <c r="C246" s="5" t="n">
        <v>45232</v>
      </c>
      <c r="D246" t="n">
        <v>13</v>
      </c>
      <c r="E246" t="n">
        <v>114.66</v>
      </c>
      <c r="F246" t="inlineStr">
        <is>
          <t>AUD</t>
        </is>
      </c>
      <c r="G246" t="n">
        <v>9.5</v>
      </c>
      <c r="H246" t="inlineStr">
        <is>
          <t>AUD</t>
        </is>
      </c>
    </row>
    <row r="247">
      <c r="A247" t="inlineStr">
        <is>
          <t>B246</t>
        </is>
      </c>
      <c r="B247" t="inlineStr">
        <is>
          <t>VGS</t>
        </is>
      </c>
      <c r="C247" s="5" t="n">
        <v>45232</v>
      </c>
      <c r="D247" t="n">
        <v>18</v>
      </c>
      <c r="E247" t="n">
        <v>103.99</v>
      </c>
      <c r="F247" t="inlineStr">
        <is>
          <t>AUD</t>
        </is>
      </c>
      <c r="G247" t="n">
        <v>9.5</v>
      </c>
      <c r="H247" t="inlineStr">
        <is>
          <t>AUD</t>
        </is>
      </c>
    </row>
    <row r="248">
      <c r="A248" t="inlineStr">
        <is>
          <t>B247</t>
        </is>
      </c>
      <c r="B248" t="inlineStr">
        <is>
          <t>AAPL</t>
        </is>
      </c>
      <c r="C248" s="5" t="n">
        <v>45244</v>
      </c>
      <c r="D248" t="n">
        <v>2</v>
      </c>
      <c r="E248" t="n">
        <v>187.44</v>
      </c>
      <c r="F248" t="inlineStr">
        <is>
          <t>USD</t>
        </is>
      </c>
      <c r="G248" t="n">
        <v>5</v>
      </c>
      <c r="H248" t="inlineStr">
        <is>
          <t>USD</t>
        </is>
      </c>
    </row>
    <row r="249">
      <c r="A249" t="inlineStr">
        <is>
          <t>B248</t>
        </is>
      </c>
      <c r="B249" t="inlineStr">
        <is>
          <t>A200</t>
        </is>
      </c>
      <c r="C249" s="5" t="n">
        <v>45264</v>
      </c>
      <c r="D249" t="n">
        <v>12</v>
      </c>
      <c r="E249" t="n">
        <v>119</v>
      </c>
      <c r="F249" t="inlineStr">
        <is>
          <t>AUD</t>
        </is>
      </c>
      <c r="G249" t="n">
        <v>9.5</v>
      </c>
      <c r="H249" t="inlineStr">
        <is>
          <t>AUD</t>
        </is>
      </c>
    </row>
    <row r="250">
      <c r="A250" t="inlineStr">
        <is>
          <t>B249</t>
        </is>
      </c>
      <c r="B250" t="inlineStr">
        <is>
          <t>VGS</t>
        </is>
      </c>
      <c r="C250" s="5" t="n">
        <v>45264</v>
      </c>
      <c r="D250" t="n">
        <v>16</v>
      </c>
      <c r="E250" t="n">
        <v>108.7</v>
      </c>
      <c r="F250" t="inlineStr">
        <is>
          <t>AUD</t>
        </is>
      </c>
      <c r="G250" t="n">
        <v>9.5</v>
      </c>
      <c r="H250" t="inlineStr">
        <is>
          <t>AUD</t>
        </is>
      </c>
    </row>
    <row r="251">
      <c r="A251" t="inlineStr">
        <is>
          <t>B250</t>
        </is>
      </c>
      <c r="B251" t="inlineStr">
        <is>
          <t>MSFT</t>
        </is>
      </c>
      <c r="C251" s="5" t="n">
        <v>45271</v>
      </c>
      <c r="D251" t="n">
        <v>1</v>
      </c>
      <c r="E251" t="n">
        <v>371.3</v>
      </c>
      <c r="F251" t="inlineStr">
        <is>
          <t>USD</t>
        </is>
      </c>
      <c r="G251" t="n">
        <v>5</v>
      </c>
      <c r="H251" t="inlineStr">
        <is>
          <t>USD</t>
        </is>
      </c>
    </row>
    <row r="252">
      <c r="A252" t="inlineStr">
        <is>
          <t>B251</t>
        </is>
      </c>
      <c r="B252" t="inlineStr">
        <is>
          <t>A200</t>
        </is>
      </c>
      <c r="C252" s="5" t="n">
        <v>45294</v>
      </c>
      <c r="D252" t="n">
        <v>10</v>
      </c>
      <c r="E252" t="n">
        <v>124.78</v>
      </c>
      <c r="F252" t="inlineStr">
        <is>
          <t>AUD</t>
        </is>
      </c>
      <c r="G252" t="n">
        <v>9.5</v>
      </c>
      <c r="H252" t="inlineStr">
        <is>
          <t>AUD</t>
        </is>
      </c>
    </row>
    <row r="253">
      <c r="A253" t="inlineStr">
        <is>
          <t>B252</t>
        </is>
      </c>
      <c r="B253" t="inlineStr">
        <is>
          <t>VGS</t>
        </is>
      </c>
      <c r="C253" s="5" t="n">
        <v>45294</v>
      </c>
      <c r="D253" t="n">
        <v>13</v>
      </c>
      <c r="E253" t="n">
        <v>110.03</v>
      </c>
      <c r="F253" t="inlineStr">
        <is>
          <t>AUD</t>
        </is>
      </c>
      <c r="G253" t="n">
        <v>9.5</v>
      </c>
      <c r="H253" t="inlineStr">
        <is>
          <t>AUD</t>
        </is>
      </c>
    </row>
    <row r="254">
      <c r="A254" t="inlineStr">
        <is>
          <t>B253</t>
        </is>
      </c>
      <c r="B254" t="inlineStr">
        <is>
          <t>BHP</t>
        </is>
      </c>
      <c r="C254" s="5" t="n">
        <v>45306</v>
      </c>
      <c r="D254" t="n">
        <v>17</v>
      </c>
      <c r="E254" t="n">
        <v>47.27</v>
      </c>
      <c r="F254" t="inlineStr">
        <is>
          <t>AUD</t>
        </is>
      </c>
      <c r="G254" t="n">
        <v>19.95</v>
      </c>
      <c r="H254" t="inlineStr">
        <is>
          <t>AUD</t>
        </is>
      </c>
    </row>
    <row r="255">
      <c r="A255" t="inlineStr">
        <is>
          <t>B254</t>
        </is>
      </c>
      <c r="B255" t="inlineStr">
        <is>
          <t>AAPL</t>
        </is>
      </c>
      <c r="C255" s="5" t="n">
        <v>45307</v>
      </c>
      <c r="D255" t="n">
        <v>4</v>
      </c>
      <c r="E255" t="n">
        <v>183.63</v>
      </c>
      <c r="F255" t="inlineStr">
        <is>
          <t>USD</t>
        </is>
      </c>
      <c r="G255" t="n">
        <v>5</v>
      </c>
      <c r="H255" t="inlineStr">
        <is>
          <t>USD</t>
        </is>
      </c>
    </row>
    <row r="256">
      <c r="A256" t="inlineStr">
        <is>
          <t>B255</t>
        </is>
      </c>
      <c r="B256" t="inlineStr">
        <is>
          <t>A200</t>
        </is>
      </c>
      <c r="C256" s="5" t="n">
        <v>45327</v>
      </c>
      <c r="D256" t="n">
        <v>7</v>
      </c>
      <c r="E256" t="n">
        <v>126.59</v>
      </c>
      <c r="F256" t="inlineStr">
        <is>
          <t>AUD</t>
        </is>
      </c>
      <c r="G256" t="n">
        <v>9.5</v>
      </c>
      <c r="H256" t="inlineStr">
        <is>
          <t>AUD</t>
        </is>
      </c>
    </row>
    <row r="257">
      <c r="A257" t="inlineStr">
        <is>
          <t>B256</t>
        </is>
      </c>
      <c r="B257" t="inlineStr">
        <is>
          <t>VGS</t>
        </is>
      </c>
      <c r="C257" s="5" t="n">
        <v>45327</v>
      </c>
      <c r="D257" t="n">
        <v>10</v>
      </c>
      <c r="E257" t="n">
        <v>118.12</v>
      </c>
      <c r="F257" t="inlineStr">
        <is>
          <t>AUD</t>
        </is>
      </c>
      <c r="G257" t="n">
        <v>9.5</v>
      </c>
      <c r="H257" t="inlineStr">
        <is>
          <t>AUD</t>
        </is>
      </c>
    </row>
    <row r="258">
      <c r="A258" t="inlineStr">
        <is>
          <t>B257</t>
        </is>
      </c>
      <c r="B258" t="inlineStr">
        <is>
          <t>A200</t>
        </is>
      </c>
      <c r="C258" s="5" t="n">
        <v>45355</v>
      </c>
      <c r="D258" t="n">
        <v>11</v>
      </c>
      <c r="E258" t="n">
        <v>129.19</v>
      </c>
      <c r="F258" t="inlineStr">
        <is>
          <t>AUD</t>
        </is>
      </c>
      <c r="G258" t="n">
        <v>9.5</v>
      </c>
      <c r="H258" t="inlineStr">
        <is>
          <t>AUD</t>
        </is>
      </c>
    </row>
    <row r="259">
      <c r="A259" t="inlineStr">
        <is>
          <t>B258</t>
        </is>
      </c>
      <c r="B259" t="inlineStr">
        <is>
          <t>VGS</t>
        </is>
      </c>
      <c r="C259" s="5" t="n">
        <v>45355</v>
      </c>
      <c r="D259" t="n">
        <v>15</v>
      </c>
      <c r="E259" t="n">
        <v>122.61</v>
      </c>
      <c r="F259" t="inlineStr">
        <is>
          <t>AUD</t>
        </is>
      </c>
      <c r="G259" t="n">
        <v>9.5</v>
      </c>
      <c r="H259" t="inlineStr">
        <is>
          <t>AUD</t>
        </is>
      </c>
    </row>
    <row r="260">
      <c r="A260" t="inlineStr">
        <is>
          <t>B259</t>
        </is>
      </c>
      <c r="B260" t="inlineStr">
        <is>
          <t>A200</t>
        </is>
      </c>
      <c r="C260" s="5" t="n">
        <v>45386</v>
      </c>
      <c r="D260" t="n">
        <v>5</v>
      </c>
      <c r="E260" t="n">
        <v>130.41</v>
      </c>
      <c r="F260" t="inlineStr">
        <is>
          <t>AUD</t>
        </is>
      </c>
      <c r="G260" t="n">
        <v>9.5</v>
      </c>
      <c r="H260" t="inlineStr">
        <is>
          <t>AUD</t>
        </is>
      </c>
    </row>
    <row r="261">
      <c r="A261" t="inlineStr">
        <is>
          <t>B260</t>
        </is>
      </c>
      <c r="B261" t="inlineStr">
        <is>
          <t>VGS</t>
        </is>
      </c>
      <c r="C261" s="5" t="n">
        <v>45386</v>
      </c>
      <c r="D261" t="n">
        <v>7</v>
      </c>
      <c r="E261" t="n">
        <v>122.7</v>
      </c>
      <c r="F261" t="inlineStr">
        <is>
          <t>AUD</t>
        </is>
      </c>
      <c r="G261" t="n">
        <v>9.5</v>
      </c>
      <c r="H261" t="inlineStr">
        <is>
          <t>AUD</t>
        </is>
      </c>
    </row>
    <row r="262">
      <c r="A262" t="inlineStr">
        <is>
          <t>B261</t>
        </is>
      </c>
      <c r="B262" t="inlineStr">
        <is>
          <t>AAPL</t>
        </is>
      </c>
      <c r="C262" s="5" t="n">
        <v>45404</v>
      </c>
      <c r="D262" t="n">
        <v>3</v>
      </c>
      <c r="E262" t="n">
        <v>165.84</v>
      </c>
      <c r="F262" t="inlineStr">
        <is>
          <t>USD</t>
        </is>
      </c>
      <c r="G262" t="n">
        <v>5</v>
      </c>
      <c r="H262" t="inlineStr">
        <is>
          <t>USD</t>
        </is>
      </c>
    </row>
    <row r="263">
      <c r="A263" t="inlineStr">
        <is>
          <t>B262</t>
        </is>
      </c>
      <c r="B263" t="inlineStr">
        <is>
          <t>AMZN</t>
        </is>
      </c>
      <c r="C263" s="5" t="n">
        <v>45411</v>
      </c>
      <c r="D263" t="n">
        <v>2</v>
      </c>
      <c r="E263" t="n">
        <v>180.96</v>
      </c>
      <c r="F263" t="inlineStr">
        <is>
          <t>USD</t>
        </is>
      </c>
      <c r="G263" t="n">
        <v>5</v>
      </c>
      <c r="H263" t="inlineStr">
        <is>
          <t>USD</t>
        </is>
      </c>
    </row>
    <row r="264">
      <c r="A264" t="inlineStr">
        <is>
          <t>B263</t>
        </is>
      </c>
      <c r="B264" t="inlineStr">
        <is>
          <t>A200</t>
        </is>
      </c>
      <c r="C264" s="5" t="n">
        <v>45418</v>
      </c>
      <c r="D264" t="n">
        <v>7</v>
      </c>
      <c r="E264" t="n">
        <v>128.11</v>
      </c>
      <c r="F264" t="inlineStr">
        <is>
          <t>AUD</t>
        </is>
      </c>
      <c r="G264" t="n">
        <v>9.5</v>
      </c>
      <c r="H264" t="inlineStr">
        <is>
          <t>AUD</t>
        </is>
      </c>
    </row>
    <row r="265">
      <c r="A265" t="inlineStr">
        <is>
          <t>B264</t>
        </is>
      </c>
      <c r="B265" t="inlineStr">
        <is>
          <t>VGS</t>
        </is>
      </c>
      <c r="C265" s="5" t="n">
        <v>45418</v>
      </c>
      <c r="D265" t="n">
        <v>10</v>
      </c>
      <c r="E265" t="n">
        <v>120.31</v>
      </c>
      <c r="F265" t="inlineStr">
        <is>
          <t>AUD</t>
        </is>
      </c>
      <c r="G265" t="n">
        <v>9.5</v>
      </c>
      <c r="H265" t="inlineStr">
        <is>
          <t>AUD</t>
        </is>
      </c>
    </row>
    <row r="266">
      <c r="A266" t="inlineStr">
        <is>
          <t>B265</t>
        </is>
      </c>
      <c r="B266" t="inlineStr">
        <is>
          <t>AMZN</t>
        </is>
      </c>
      <c r="C266" s="5" t="n">
        <v>45432</v>
      </c>
      <c r="D266" t="n">
        <v>3</v>
      </c>
      <c r="E266" t="n">
        <v>183.54</v>
      </c>
      <c r="F266" t="inlineStr">
        <is>
          <t>USD</t>
        </is>
      </c>
      <c r="G266" t="n">
        <v>5</v>
      </c>
      <c r="H266" t="inlineStr">
        <is>
          <t>USD</t>
        </is>
      </c>
    </row>
    <row r="267">
      <c r="A267" t="inlineStr">
        <is>
          <t>B266</t>
        </is>
      </c>
      <c r="B267" t="inlineStr">
        <is>
          <t>A200</t>
        </is>
      </c>
      <c r="C267" s="5" t="n">
        <v>45446</v>
      </c>
      <c r="D267" t="n">
        <v>6</v>
      </c>
      <c r="E267" t="n">
        <v>130.02</v>
      </c>
      <c r="F267" t="inlineStr">
        <is>
          <t>AUD</t>
        </is>
      </c>
      <c r="G267" t="n">
        <v>9.5</v>
      </c>
      <c r="H267" t="inlineStr">
        <is>
          <t>AUD</t>
        </is>
      </c>
    </row>
    <row r="268">
      <c r="A268" t="inlineStr">
        <is>
          <t>B267</t>
        </is>
      </c>
      <c r="B268" t="inlineStr">
        <is>
          <t>VGS</t>
        </is>
      </c>
      <c r="C268" s="5" t="n">
        <v>45446</v>
      </c>
      <c r="D268" t="n">
        <v>8</v>
      </c>
      <c r="E268" t="n">
        <v>123.61</v>
      </c>
      <c r="F268" t="inlineStr">
        <is>
          <t>AUD</t>
        </is>
      </c>
      <c r="G268" t="n">
        <v>9.5</v>
      </c>
      <c r="H268" t="inlineStr">
        <is>
          <t>AUD</t>
        </is>
      </c>
    </row>
    <row r="269">
      <c r="A269" t="inlineStr">
        <is>
          <t>B268</t>
        </is>
      </c>
      <c r="B269" t="inlineStr">
        <is>
          <t>AAPL</t>
        </is>
      </c>
      <c r="C269" s="5" t="n">
        <v>45463</v>
      </c>
      <c r="D269" t="n">
        <v>3</v>
      </c>
      <c r="E269" t="n">
        <v>209.68</v>
      </c>
      <c r="F269" t="inlineStr">
        <is>
          <t>USD</t>
        </is>
      </c>
      <c r="G269" t="n">
        <v>5</v>
      </c>
      <c r="H269" t="inlineStr">
        <is>
          <t>USD</t>
        </is>
      </c>
    </row>
    <row r="270">
      <c r="A270" t="inlineStr">
        <is>
          <t>B269</t>
        </is>
      </c>
      <c r="B270" t="inlineStr">
        <is>
          <t>A200</t>
        </is>
      </c>
      <c r="C270" s="5" t="n">
        <v>45475</v>
      </c>
      <c r="D270" t="n">
        <v>10</v>
      </c>
      <c r="E270" t="n">
        <v>128.7</v>
      </c>
      <c r="F270" t="inlineStr">
        <is>
          <t>AUD</t>
        </is>
      </c>
      <c r="G270" t="n">
        <v>9.5</v>
      </c>
      <c r="H270" t="inlineStr">
        <is>
          <t>AUD</t>
        </is>
      </c>
    </row>
    <row r="271">
      <c r="A271" t="inlineStr">
        <is>
          <t>B270</t>
        </is>
      </c>
      <c r="B271" t="inlineStr">
        <is>
          <t>VGS</t>
        </is>
      </c>
      <c r="C271" s="5" t="n">
        <v>45475</v>
      </c>
      <c r="D271" t="n">
        <v>13</v>
      </c>
      <c r="E271" t="n">
        <v>123.56</v>
      </c>
      <c r="F271" t="inlineStr">
        <is>
          <t>AUD</t>
        </is>
      </c>
      <c r="G271" t="n">
        <v>9.5</v>
      </c>
      <c r="H271" t="inlineStr">
        <is>
          <t>AUD</t>
        </is>
      </c>
    </row>
    <row r="272">
      <c r="A272" t="inlineStr">
        <is>
          <t>B271</t>
        </is>
      </c>
      <c r="B272" t="inlineStr">
        <is>
          <t>A200</t>
        </is>
      </c>
      <c r="C272" s="5" t="n">
        <v>45509</v>
      </c>
      <c r="D272" t="n">
        <v>7</v>
      </c>
      <c r="E272" t="n">
        <v>127.61</v>
      </c>
      <c r="F272" t="inlineStr">
        <is>
          <t>AUD</t>
        </is>
      </c>
      <c r="G272" t="n">
        <v>9.5</v>
      </c>
      <c r="H272" t="inlineStr">
        <is>
          <t>AUD</t>
        </is>
      </c>
    </row>
    <row r="273">
      <c r="A273" t="inlineStr">
        <is>
          <t>B272</t>
        </is>
      </c>
      <c r="B273" t="inlineStr">
        <is>
          <t>VGS</t>
        </is>
      </c>
      <c r="C273" s="5" t="n">
        <v>45509</v>
      </c>
      <c r="D273" t="n">
        <v>9</v>
      </c>
      <c r="E273" t="n">
        <v>121.59</v>
      </c>
      <c r="F273" t="inlineStr">
        <is>
          <t>AUD</t>
        </is>
      </c>
      <c r="G273" t="n">
        <v>9.5</v>
      </c>
      <c r="H273" t="inlineStr">
        <is>
          <t>AUD</t>
        </is>
      </c>
    </row>
    <row r="274">
      <c r="A274" t="inlineStr">
        <is>
          <t>B273</t>
        </is>
      </c>
      <c r="B274" t="inlineStr">
        <is>
          <t>A200</t>
        </is>
      </c>
      <c r="C274" s="5" t="n">
        <v>45541</v>
      </c>
      <c r="D274" t="n">
        <v>5</v>
      </c>
      <c r="E274" t="n">
        <v>134.6</v>
      </c>
      <c r="F274" t="inlineStr">
        <is>
          <t>AUD</t>
        </is>
      </c>
      <c r="G274" t="n">
        <v>9.5</v>
      </c>
      <c r="H274" t="inlineStr">
        <is>
          <t>AUD</t>
        </is>
      </c>
    </row>
    <row r="275">
      <c r="A275" t="inlineStr">
        <is>
          <t>B274</t>
        </is>
      </c>
      <c r="B275" t="inlineStr">
        <is>
          <t>VGS</t>
        </is>
      </c>
      <c r="C275" s="5" t="n">
        <v>45541</v>
      </c>
      <c r="D275" t="n">
        <v>6</v>
      </c>
      <c r="E275" t="n">
        <v>123.75</v>
      </c>
      <c r="F275" t="inlineStr">
        <is>
          <t>AUD</t>
        </is>
      </c>
      <c r="G275" t="n">
        <v>9.5</v>
      </c>
      <c r="H275" t="inlineStr">
        <is>
          <t>AUD</t>
        </is>
      </c>
    </row>
    <row r="276">
      <c r="A276" t="inlineStr">
        <is>
          <t>B275</t>
        </is>
      </c>
      <c r="B276" t="inlineStr">
        <is>
          <t>A200</t>
        </is>
      </c>
      <c r="C276" s="5" t="n">
        <v>45572</v>
      </c>
      <c r="D276" t="n">
        <v>6</v>
      </c>
      <c r="E276" t="n">
        <v>137.12</v>
      </c>
      <c r="F276" t="inlineStr">
        <is>
          <t>AUD</t>
        </is>
      </c>
      <c r="G276" t="n">
        <v>9.5</v>
      </c>
      <c r="H276" t="inlineStr">
        <is>
          <t>AUD</t>
        </is>
      </c>
    </row>
    <row r="277">
      <c r="A277" t="inlineStr">
        <is>
          <t>B276</t>
        </is>
      </c>
      <c r="B277" t="inlineStr">
        <is>
          <t>VGS</t>
        </is>
      </c>
      <c r="C277" s="5" t="n">
        <v>45572</v>
      </c>
      <c r="D277" t="n">
        <v>8</v>
      </c>
      <c r="E277" t="n">
        <v>127</v>
      </c>
      <c r="F277" t="inlineStr">
        <is>
          <t>AUD</t>
        </is>
      </c>
      <c r="G277" t="n">
        <v>9.5</v>
      </c>
      <c r="H277" t="inlineStr">
        <is>
          <t>AUD</t>
        </is>
      </c>
    </row>
    <row r="278">
      <c r="A278" t="inlineStr">
        <is>
          <t>B277</t>
        </is>
      </c>
      <c r="B278" t="inlineStr">
        <is>
          <t>A200</t>
        </is>
      </c>
      <c r="C278" s="5" t="n">
        <v>45600</v>
      </c>
      <c r="D278" t="n">
        <v>10</v>
      </c>
      <c r="E278" t="n">
        <v>136.46</v>
      </c>
      <c r="F278" t="inlineStr">
        <is>
          <t>AUD</t>
        </is>
      </c>
      <c r="G278" t="n">
        <v>9.5</v>
      </c>
      <c r="H278" t="inlineStr">
        <is>
          <t>AUD</t>
        </is>
      </c>
    </row>
    <row r="279">
      <c r="A279" t="inlineStr">
        <is>
          <t>B278</t>
        </is>
      </c>
      <c r="B279" t="inlineStr">
        <is>
          <t>MSFT</t>
        </is>
      </c>
      <c r="C279" s="5" t="n">
        <v>45600</v>
      </c>
      <c r="D279" t="n">
        <v>2</v>
      </c>
      <c r="E279" t="n">
        <v>408.46</v>
      </c>
      <c r="F279" t="inlineStr">
        <is>
          <t>USD</t>
        </is>
      </c>
      <c r="G279" t="n">
        <v>5</v>
      </c>
      <c r="H279" t="inlineStr">
        <is>
          <t>USD</t>
        </is>
      </c>
    </row>
    <row r="280">
      <c r="A280" t="inlineStr">
        <is>
          <t>B279</t>
        </is>
      </c>
      <c r="B280" t="inlineStr">
        <is>
          <t>VGS</t>
        </is>
      </c>
      <c r="C280" s="5" t="n">
        <v>45600</v>
      </c>
      <c r="D280" t="n">
        <v>13</v>
      </c>
      <c r="E280" t="n">
        <v>129.83</v>
      </c>
      <c r="F280" t="inlineStr">
        <is>
          <t>AUD</t>
        </is>
      </c>
      <c r="G280" t="n">
        <v>9.5</v>
      </c>
      <c r="H280" t="inlineStr">
        <is>
          <t>AUD</t>
        </is>
      </c>
    </row>
    <row r="281">
      <c r="A281" t="inlineStr">
        <is>
          <t>B280</t>
        </is>
      </c>
      <c r="B281" t="inlineStr">
        <is>
          <t>A200</t>
        </is>
      </c>
      <c r="C281" s="5" t="n">
        <v>45630</v>
      </c>
      <c r="D281" t="n">
        <v>7</v>
      </c>
      <c r="E281" t="n">
        <v>141.85</v>
      </c>
      <c r="F281" t="inlineStr">
        <is>
          <t>AUD</t>
        </is>
      </c>
      <c r="G281" t="n">
        <v>9.5</v>
      </c>
      <c r="H281" t="inlineStr">
        <is>
          <t>AUD</t>
        </is>
      </c>
    </row>
    <row r="282">
      <c r="A282" t="inlineStr">
        <is>
          <t>B281</t>
        </is>
      </c>
      <c r="B282" t="inlineStr">
        <is>
          <t>VGS</t>
        </is>
      </c>
      <c r="C282" s="5" t="n">
        <v>45630</v>
      </c>
      <c r="D282" t="n">
        <v>9</v>
      </c>
      <c r="E282" t="n">
        <v>139.2</v>
      </c>
      <c r="F282" t="inlineStr">
        <is>
          <t>AUD</t>
        </is>
      </c>
      <c r="G282" t="n">
        <v>9.5</v>
      </c>
      <c r="H282" t="inlineStr">
        <is>
          <t>AUD</t>
        </is>
      </c>
    </row>
    <row r="283">
      <c r="A283" t="inlineStr">
        <is>
          <t>B282</t>
        </is>
      </c>
      <c r="B283" t="inlineStr">
        <is>
          <t>AMZN</t>
        </is>
      </c>
      <c r="C283" s="5" t="n">
        <v>45635</v>
      </c>
      <c r="D283" t="n">
        <v>2</v>
      </c>
      <c r="E283" t="n">
        <v>226.09</v>
      </c>
      <c r="F283" t="inlineStr">
        <is>
          <t>USD</t>
        </is>
      </c>
      <c r="G283" t="n">
        <v>5</v>
      </c>
      <c r="H283" t="inlineStr">
        <is>
          <t>USD</t>
        </is>
      </c>
    </row>
    <row r="284">
      <c r="A284" t="inlineStr">
        <is>
          <t>B283</t>
        </is>
      </c>
      <c r="B284" t="inlineStr">
        <is>
          <t>MSFT</t>
        </is>
      </c>
      <c r="C284" s="5" t="n">
        <v>45635</v>
      </c>
      <c r="D284" t="n">
        <v>1</v>
      </c>
      <c r="E284" t="n">
        <v>446.02</v>
      </c>
      <c r="F284" t="inlineStr">
        <is>
          <t>USD</t>
        </is>
      </c>
      <c r="G284" t="n">
        <v>5</v>
      </c>
      <c r="H284" t="inlineStr">
        <is>
          <t>USD</t>
        </is>
      </c>
    </row>
    <row r="285">
      <c r="A285" t="inlineStr">
        <is>
          <t>B284</t>
        </is>
      </c>
      <c r="B285" t="inlineStr">
        <is>
          <t>A200</t>
        </is>
      </c>
      <c r="C285" s="5" t="n">
        <v>45663</v>
      </c>
      <c r="D285" t="n">
        <v>5</v>
      </c>
      <c r="E285" t="n">
        <v>137.26</v>
      </c>
      <c r="F285" t="inlineStr">
        <is>
          <t>AUD</t>
        </is>
      </c>
      <c r="G285" t="n">
        <v>9.5</v>
      </c>
      <c r="H285" t="inlineStr">
        <is>
          <t>AUD</t>
        </is>
      </c>
    </row>
    <row r="286">
      <c r="A286" t="inlineStr">
        <is>
          <t>B285</t>
        </is>
      </c>
      <c r="B286" t="inlineStr">
        <is>
          <t>VGS</t>
        </is>
      </c>
      <c r="C286" s="5" t="n">
        <v>45663</v>
      </c>
      <c r="D286" t="n">
        <v>6</v>
      </c>
      <c r="E286" t="n">
        <v>140.07</v>
      </c>
      <c r="F286" t="inlineStr">
        <is>
          <t>AUD</t>
        </is>
      </c>
      <c r="G286" t="n">
        <v>9.5</v>
      </c>
      <c r="H286" t="inlineStr">
        <is>
          <t>AUD</t>
        </is>
      </c>
    </row>
    <row r="287">
      <c r="A287" t="inlineStr">
        <is>
          <t>B286</t>
        </is>
      </c>
      <c r="B287" t="inlineStr">
        <is>
          <t>A200</t>
        </is>
      </c>
      <c r="C287" s="5" t="n">
        <v>45691</v>
      </c>
      <c r="D287" t="n">
        <v>6</v>
      </c>
      <c r="E287" t="n">
        <v>139.24</v>
      </c>
      <c r="F287" t="inlineStr">
        <is>
          <t>AUD</t>
        </is>
      </c>
      <c r="G287" t="n">
        <v>9.5</v>
      </c>
      <c r="H287" t="inlineStr">
        <is>
          <t>AUD</t>
        </is>
      </c>
    </row>
    <row r="288">
      <c r="A288" t="inlineStr">
        <is>
          <t>B287</t>
        </is>
      </c>
      <c r="B288" t="inlineStr">
        <is>
          <t>VGS</t>
        </is>
      </c>
      <c r="C288" s="5" t="n">
        <v>45691</v>
      </c>
      <c r="D288" t="n">
        <v>7</v>
      </c>
      <c r="E288" t="n">
        <v>142.6</v>
      </c>
      <c r="F288" t="inlineStr">
        <is>
          <t>AUD</t>
        </is>
      </c>
      <c r="G288" t="n">
        <v>9.5</v>
      </c>
      <c r="H288" t="inlineStr">
        <is>
          <t>AUD</t>
        </is>
      </c>
    </row>
    <row r="289">
      <c r="A289" t="inlineStr">
        <is>
          <t>B288</t>
        </is>
      </c>
      <c r="B289" t="inlineStr">
        <is>
          <t>AAPL</t>
        </is>
      </c>
      <c r="C289" s="5" t="n">
        <v>45702</v>
      </c>
      <c r="D289" t="n">
        <v>2</v>
      </c>
      <c r="E289" t="n">
        <v>244.6</v>
      </c>
      <c r="F289" t="inlineStr">
        <is>
          <t>USD</t>
        </is>
      </c>
      <c r="G289" t="n">
        <v>5</v>
      </c>
      <c r="H289" t="inlineStr">
        <is>
          <t>USD</t>
        </is>
      </c>
    </row>
    <row r="290">
      <c r="A290" t="inlineStr">
        <is>
          <t>B289</t>
        </is>
      </c>
      <c r="B290" t="inlineStr">
        <is>
          <t>A200</t>
        </is>
      </c>
      <c r="C290" s="5" t="n">
        <v>45719</v>
      </c>
      <c r="D290" t="n">
        <v>6</v>
      </c>
      <c r="E290" t="n">
        <v>137.69</v>
      </c>
      <c r="F290" t="inlineStr">
        <is>
          <t>AUD</t>
        </is>
      </c>
      <c r="G290" t="n">
        <v>9.5</v>
      </c>
      <c r="H290" t="inlineStr">
        <is>
          <t>AUD</t>
        </is>
      </c>
    </row>
    <row r="291">
      <c r="A291" t="inlineStr">
        <is>
          <t>B290</t>
        </is>
      </c>
      <c r="B291" t="inlineStr">
        <is>
          <t>VGS</t>
        </is>
      </c>
      <c r="C291" s="5" t="n">
        <v>45719</v>
      </c>
      <c r="D291" t="n">
        <v>8</v>
      </c>
      <c r="E291" t="n">
        <v>143.27</v>
      </c>
      <c r="F291" t="inlineStr">
        <is>
          <t>AUD</t>
        </is>
      </c>
      <c r="G291" t="n">
        <v>9.5</v>
      </c>
      <c r="H291" t="inlineStr">
        <is>
          <t>AUD</t>
        </is>
      </c>
    </row>
    <row r="292">
      <c r="A292" t="inlineStr">
        <is>
          <t>B291</t>
        </is>
      </c>
      <c r="B292" t="inlineStr">
        <is>
          <t>A200</t>
        </is>
      </c>
      <c r="C292" s="5" t="n">
        <v>45754</v>
      </c>
      <c r="D292" t="n">
        <v>12</v>
      </c>
      <c r="E292" t="n">
        <v>122.68</v>
      </c>
      <c r="F292" t="inlineStr">
        <is>
          <t>AUD</t>
        </is>
      </c>
      <c r="G292" t="n">
        <v>9.5</v>
      </c>
      <c r="H292" t="inlineStr">
        <is>
          <t>AUD</t>
        </is>
      </c>
    </row>
    <row r="293">
      <c r="A293" t="inlineStr">
        <is>
          <t>B292</t>
        </is>
      </c>
      <c r="B293" t="inlineStr">
        <is>
          <t>VGS</t>
        </is>
      </c>
      <c r="C293" s="5" t="n">
        <v>45754</v>
      </c>
      <c r="D293" t="n">
        <v>15</v>
      </c>
      <c r="E293" t="n">
        <v>123.16</v>
      </c>
      <c r="F293" t="inlineStr">
        <is>
          <t>AUD</t>
        </is>
      </c>
      <c r="G293" t="n">
        <v>9.5</v>
      </c>
      <c r="H293" t="inlineStr">
        <is>
          <t>AUD</t>
        </is>
      </c>
    </row>
    <row r="294">
      <c r="A294" t="inlineStr">
        <is>
          <t>B293</t>
        </is>
      </c>
      <c r="B294" t="inlineStr">
        <is>
          <t>AAPL</t>
        </is>
      </c>
      <c r="C294" s="5" t="n">
        <v>45758</v>
      </c>
      <c r="D294" t="n">
        <v>1</v>
      </c>
      <c r="E294" t="n">
        <v>198.15</v>
      </c>
      <c r="F294" t="inlineStr">
        <is>
          <t>USD</t>
        </is>
      </c>
      <c r="G294" t="n">
        <v>5</v>
      </c>
      <c r="H294" t="inlineStr">
        <is>
          <t>USD</t>
        </is>
      </c>
    </row>
    <row r="295">
      <c r="A295" t="inlineStr">
        <is>
          <t>B294</t>
        </is>
      </c>
      <c r="B295" t="inlineStr">
        <is>
          <t>A200</t>
        </is>
      </c>
      <c r="C295" s="5" t="n">
        <v>45782</v>
      </c>
      <c r="D295" t="n">
        <v>5</v>
      </c>
      <c r="E295" t="n">
        <v>136.22</v>
      </c>
      <c r="F295" t="inlineStr">
        <is>
          <t>AUD</t>
        </is>
      </c>
      <c r="G295" t="n">
        <v>9.5</v>
      </c>
      <c r="H295" t="inlineStr">
        <is>
          <t>AUD</t>
        </is>
      </c>
    </row>
    <row r="296">
      <c r="A296" t="inlineStr">
        <is>
          <t>B295</t>
        </is>
      </c>
      <c r="B296" t="inlineStr">
        <is>
          <t>VGS</t>
        </is>
      </c>
      <c r="C296" s="5" t="n">
        <v>45782</v>
      </c>
      <c r="D296" t="n">
        <v>7</v>
      </c>
      <c r="E296" t="n">
        <v>132.52</v>
      </c>
      <c r="F296" t="inlineStr">
        <is>
          <t>AUD</t>
        </is>
      </c>
      <c r="G296" t="n">
        <v>9.5</v>
      </c>
      <c r="H296" t="inlineStr">
        <is>
          <t>AUD</t>
        </is>
      </c>
    </row>
    <row r="297">
      <c r="A297" t="inlineStr">
        <is>
          <t>B296</t>
        </is>
      </c>
      <c r="B297" t="inlineStr">
        <is>
          <t>A200</t>
        </is>
      </c>
      <c r="C297" s="5" t="n">
        <v>45810</v>
      </c>
      <c r="D297" t="n">
        <v>5</v>
      </c>
      <c r="E297" t="n">
        <v>141.06</v>
      </c>
      <c r="F297" t="inlineStr">
        <is>
          <t>AUD</t>
        </is>
      </c>
      <c r="G297" t="n">
        <v>9.5</v>
      </c>
      <c r="H297" t="inlineStr">
        <is>
          <t>AUD</t>
        </is>
      </c>
    </row>
    <row r="298">
      <c r="A298" t="inlineStr">
        <is>
          <t>B297</t>
        </is>
      </c>
      <c r="B298" t="inlineStr">
        <is>
          <t>MSFT</t>
        </is>
      </c>
      <c r="C298" s="5" t="n">
        <v>45810</v>
      </c>
      <c r="D298" t="n">
        <v>1</v>
      </c>
      <c r="E298" t="n">
        <v>461.97</v>
      </c>
      <c r="F298" t="inlineStr">
        <is>
          <t>USD</t>
        </is>
      </c>
      <c r="G298" t="n">
        <v>5</v>
      </c>
      <c r="H298" t="inlineStr">
        <is>
          <t>USD</t>
        </is>
      </c>
    </row>
    <row r="299">
      <c r="A299" t="inlineStr">
        <is>
          <t>B298</t>
        </is>
      </c>
      <c r="B299" t="inlineStr">
        <is>
          <t>VGS</t>
        </is>
      </c>
      <c r="C299" s="5" t="n">
        <v>45810</v>
      </c>
      <c r="D299" t="n">
        <v>7</v>
      </c>
      <c r="E299" t="n">
        <v>138.24</v>
      </c>
      <c r="F299" t="inlineStr">
        <is>
          <t>AUD</t>
        </is>
      </c>
      <c r="G299" t="n">
        <v>9.5</v>
      </c>
      <c r="H299" t="inlineStr">
        <is>
          <t>AUD</t>
        </is>
      </c>
    </row>
    <row r="300">
      <c r="A300" t="inlineStr">
        <is>
          <t>B299</t>
        </is>
      </c>
      <c r="B300" t="inlineStr">
        <is>
          <t>MSFT</t>
        </is>
      </c>
      <c r="C300" s="5" t="n">
        <v>45813</v>
      </c>
      <c r="D300" t="n">
        <v>2</v>
      </c>
      <c r="E300" t="n">
        <v>467.68</v>
      </c>
      <c r="F300" t="inlineStr">
        <is>
          <t>USD</t>
        </is>
      </c>
      <c r="G300" t="n">
        <v>5</v>
      </c>
      <c r="H300" t="inlineStr">
        <is>
          <t>USD</t>
        </is>
      </c>
    </row>
    <row r="301">
      <c r="A301" t="inlineStr">
        <is>
          <t>B300</t>
        </is>
      </c>
      <c r="B301" t="inlineStr">
        <is>
          <t>A200</t>
        </is>
      </c>
      <c r="C301" s="5" t="n">
        <v>45840</v>
      </c>
      <c r="D301" t="n">
        <v>5</v>
      </c>
      <c r="E301" t="n">
        <v>143.29</v>
      </c>
      <c r="F301" t="inlineStr">
        <is>
          <t>AUD</t>
        </is>
      </c>
      <c r="G301" t="n">
        <v>9.5</v>
      </c>
      <c r="H301" t="inlineStr">
        <is>
          <t>AUD</t>
        </is>
      </c>
    </row>
    <row r="302">
      <c r="A302" t="inlineStr">
        <is>
          <t>B301</t>
        </is>
      </c>
      <c r="B302" t="inlineStr">
        <is>
          <t>VGS</t>
        </is>
      </c>
      <c r="C302" s="5" t="n">
        <v>45840</v>
      </c>
      <c r="D302" t="n">
        <v>6</v>
      </c>
      <c r="E302" t="n">
        <v>141.32</v>
      </c>
      <c r="F302" t="inlineStr">
        <is>
          <t>AUD</t>
        </is>
      </c>
      <c r="G302" t="n">
        <v>9.5</v>
      </c>
      <c r="H302" t="inlineStr">
        <is>
          <t>AUD</t>
        </is>
      </c>
    </row>
    <row r="303">
      <c r="A303" t="inlineStr">
        <is>
          <t>B302</t>
        </is>
      </c>
      <c r="B303" t="inlineStr">
        <is>
          <t>AMZN</t>
        </is>
      </c>
      <c r="C303" s="5" t="n">
        <v>45868</v>
      </c>
      <c r="D303" t="n">
        <v>2</v>
      </c>
      <c r="E303" t="n">
        <v>230.19</v>
      </c>
      <c r="F303" t="inlineStr">
        <is>
          <t>USD</t>
        </is>
      </c>
      <c r="G303" t="n">
        <v>5</v>
      </c>
      <c r="H303" t="inlineStr">
        <is>
          <t>USD</t>
        </is>
      </c>
    </row>
    <row r="304">
      <c r="A304" t="inlineStr">
        <is>
          <t>B303</t>
        </is>
      </c>
      <c r="B304" t="inlineStr">
        <is>
          <t>A200</t>
        </is>
      </c>
      <c r="C304" s="5" t="n">
        <v>45873</v>
      </c>
      <c r="D304" t="n">
        <v>4</v>
      </c>
      <c r="E304" t="n">
        <v>144.28</v>
      </c>
      <c r="F304" t="inlineStr">
        <is>
          <t>AUD</t>
        </is>
      </c>
      <c r="G304" t="n">
        <v>9.5</v>
      </c>
      <c r="H304" t="inlineStr">
        <is>
          <t>AUD</t>
        </is>
      </c>
    </row>
    <row r="305">
      <c r="A305" t="inlineStr">
        <is>
          <t>B304</t>
        </is>
      </c>
      <c r="B305" t="inlineStr">
        <is>
          <t>VGS</t>
        </is>
      </c>
      <c r="C305" s="5" t="n">
        <v>45873</v>
      </c>
      <c r="D305" t="n">
        <v>6</v>
      </c>
      <c r="E305" t="n">
        <v>143.53</v>
      </c>
      <c r="F305" t="inlineStr">
        <is>
          <t>AUD</t>
        </is>
      </c>
      <c r="G305" t="n">
        <v>9.5</v>
      </c>
      <c r="H305" t="inlineStr">
        <is>
          <t>AUD</t>
        </is>
      </c>
    </row>
    <row r="306">
      <c r="A306" t="inlineStr">
        <is>
          <t>B305</t>
        </is>
      </c>
      <c r="B306" t="inlineStr">
        <is>
          <t>CBA</t>
        </is>
      </c>
      <c r="C306" s="5" t="n">
        <v>45883</v>
      </c>
      <c r="D306" t="n">
        <v>3</v>
      </c>
      <c r="E306" t="n">
        <v>167.21</v>
      </c>
      <c r="F306" t="inlineStr">
        <is>
          <t>AUD</t>
        </is>
      </c>
      <c r="G306" t="n">
        <v>19.95</v>
      </c>
      <c r="H306" t="inlineStr">
        <is>
          <t>AUD</t>
        </is>
      </c>
    </row>
    <row r="307">
      <c r="A307" t="inlineStr">
        <is>
          <t>B306</t>
        </is>
      </c>
      <c r="B307" t="inlineStr">
        <is>
          <t>A200</t>
        </is>
      </c>
      <c r="C307" s="5" t="n">
        <v>45904</v>
      </c>
      <c r="D307" t="n">
        <v>7</v>
      </c>
      <c r="E307" t="n">
        <v>148.32</v>
      </c>
      <c r="F307" t="inlineStr">
        <is>
          <t>AUD</t>
        </is>
      </c>
      <c r="G307" t="n">
        <v>9.5</v>
      </c>
      <c r="H307" t="inlineStr">
        <is>
          <t>AUD</t>
        </is>
      </c>
    </row>
    <row r="308">
      <c r="A308" t="inlineStr">
        <is>
          <t>B307</t>
        </is>
      </c>
      <c r="B308" t="inlineStr">
        <is>
          <t>VGS</t>
        </is>
      </c>
      <c r="C308" s="5" t="n">
        <v>45904</v>
      </c>
      <c r="D308" t="n">
        <v>8</v>
      </c>
      <c r="E308" t="n">
        <v>147.36</v>
      </c>
      <c r="F308" t="inlineStr">
        <is>
          <t>AUD</t>
        </is>
      </c>
      <c r="G308" t="n">
        <v>9.5</v>
      </c>
      <c r="H308" t="inlineStr">
        <is>
          <t>AUD</t>
        </is>
      </c>
    </row>
    <row r="309">
      <c r="A309" t="inlineStr">
        <is>
          <t>B308</t>
        </is>
      </c>
      <c r="B309" t="inlineStr">
        <is>
          <t>AMZN</t>
        </is>
      </c>
      <c r="C309" s="5" t="n">
        <v>45915</v>
      </c>
      <c r="D309" t="n">
        <v>1</v>
      </c>
      <c r="E309" t="n">
        <v>231.43</v>
      </c>
      <c r="F309" t="inlineStr">
        <is>
          <t>USD</t>
        </is>
      </c>
      <c r="G309" t="n">
        <v>5</v>
      </c>
      <c r="H309" t="inlineStr">
        <is>
          <t>USD</t>
        </is>
      </c>
    </row>
    <row r="310">
      <c r="A310" t="inlineStr">
        <is>
          <t>B309</t>
        </is>
      </c>
      <c r="B310" t="inlineStr">
        <is>
          <t>A200</t>
        </is>
      </c>
      <c r="C310" s="5" t="n">
        <v>45936</v>
      </c>
      <c r="D310" t="n">
        <v>9</v>
      </c>
      <c r="E310" t="n">
        <v>149.58</v>
      </c>
      <c r="F310" t="inlineStr">
        <is>
          <t>AUD</t>
        </is>
      </c>
      <c r="G310" t="n">
        <v>9.5</v>
      </c>
      <c r="H310" t="inlineStr">
        <is>
          <t>AUD</t>
        </is>
      </c>
    </row>
    <row r="311">
      <c r="A311" t="inlineStr">
        <is>
          <t>B310</t>
        </is>
      </c>
      <c r="B311" t="inlineStr">
        <is>
          <t>VGS</t>
        </is>
      </c>
      <c r="C311" s="5" t="n">
        <v>45936</v>
      </c>
      <c r="D311" t="n">
        <v>11</v>
      </c>
      <c r="E311" t="n">
        <v>152</v>
      </c>
      <c r="F311" t="inlineStr">
        <is>
          <t>AUD</t>
        </is>
      </c>
      <c r="G311" t="n">
        <v>9.5</v>
      </c>
      <c r="H311" t="inlineStr">
        <is>
          <t>AUD</t>
        </is>
      </c>
    </row>
    <row r="312">
      <c r="A312" t="inlineStr">
        <is>
          <t>B311</t>
        </is>
      </c>
      <c r="B312" t="inlineStr">
        <is>
          <t>MSFT</t>
        </is>
      </c>
      <c r="C312" s="5" t="n">
        <v>45939</v>
      </c>
      <c r="D312" t="n">
        <v>1</v>
      </c>
      <c r="E312" t="n">
        <v>522.4</v>
      </c>
      <c r="F312" t="inlineStr">
        <is>
          <t>USD</t>
        </is>
      </c>
      <c r="G312" t="n">
        <v>5</v>
      </c>
      <c r="H312" t="inlineStr">
        <is>
          <t>USD</t>
        </is>
      </c>
    </row>
    <row r="313">
      <c r="A313" t="inlineStr">
        <is>
          <t>B312</t>
        </is>
      </c>
      <c r="B313" t="inlineStr">
        <is>
          <t>AAPL</t>
        </is>
      </c>
      <c r="C313" s="5" t="n">
        <v>45946</v>
      </c>
      <c r="D313" t="n">
        <v>1</v>
      </c>
      <c r="E313" t="n">
        <v>247.45</v>
      </c>
      <c r="F313" t="inlineStr">
        <is>
          <t>USD</t>
        </is>
      </c>
      <c r="G313" t="n">
        <v>5</v>
      </c>
      <c r="H313" t="inlineStr">
        <is>
          <t>USD</t>
        </is>
      </c>
    </row>
    <row r="314">
      <c r="A314" t="inlineStr">
        <is>
          <t>B313</t>
        </is>
      </c>
      <c r="B314" t="inlineStr">
        <is>
          <t>A200</t>
        </is>
      </c>
      <c r="C314" s="5" t="n">
        <v>45964</v>
      </c>
      <c r="D314" t="n">
        <v>8</v>
      </c>
      <c r="E314" t="n">
        <v>148.3</v>
      </c>
      <c r="F314" t="inlineStr">
        <is>
          <t>AUD</t>
        </is>
      </c>
      <c r="G314" t="n">
        <v>9.5</v>
      </c>
      <c r="H314" t="inlineStr">
        <is>
          <t>AUD</t>
        </is>
      </c>
    </row>
    <row r="315">
      <c r="A315" t="inlineStr">
        <is>
          <t>B314</t>
        </is>
      </c>
      <c r="B315" t="inlineStr">
        <is>
          <t>VGS</t>
        </is>
      </c>
      <c r="C315" s="5" t="n">
        <v>45964</v>
      </c>
      <c r="D315" t="n">
        <v>9</v>
      </c>
      <c r="E315" t="n">
        <v>154.97</v>
      </c>
      <c r="F315" t="inlineStr">
        <is>
          <t>AUD</t>
        </is>
      </c>
      <c r="G315" t="n">
        <v>9.5</v>
      </c>
      <c r="H315" t="inlineStr">
        <is>
          <t>AUD</t>
        </is>
      </c>
    </row>
    <row r="316">
      <c r="A316" t="inlineStr">
        <is>
          <t>B315</t>
        </is>
      </c>
      <c r="B316" t="inlineStr">
        <is>
          <t>BHP</t>
        </is>
      </c>
      <c r="C316" s="5" t="n">
        <v>45974</v>
      </c>
      <c r="D316" t="n">
        <v>25</v>
      </c>
      <c r="E316" t="n">
        <v>43.33</v>
      </c>
      <c r="F316" t="inlineStr">
        <is>
          <t>AUD</t>
        </is>
      </c>
      <c r="G316" t="n">
        <v>19.95</v>
      </c>
      <c r="H316" t="inlineStr">
        <is>
          <t>AUD</t>
        </is>
      </c>
    </row>
    <row r="317">
      <c r="A317" t="inlineStr">
        <is>
          <t>B316</t>
        </is>
      </c>
      <c r="B317" t="inlineStr">
        <is>
          <t>A200</t>
        </is>
      </c>
      <c r="C317" s="5" t="n">
        <v>45999</v>
      </c>
      <c r="D317" t="n">
        <v>9</v>
      </c>
      <c r="E317" t="n">
        <v>144.32</v>
      </c>
      <c r="F317" t="inlineStr">
        <is>
          <t>AUD</t>
        </is>
      </c>
      <c r="G317" t="n">
        <v>9.5</v>
      </c>
      <c r="H317" t="inlineStr">
        <is>
          <t>AUD</t>
        </is>
      </c>
    </row>
    <row r="318">
      <c r="A318" t="inlineStr">
        <is>
          <t>B317</t>
        </is>
      </c>
      <c r="B318" t="inlineStr">
        <is>
          <t>AMZN</t>
        </is>
      </c>
      <c r="C318" s="5" t="n">
        <v>45999</v>
      </c>
      <c r="D318" t="n">
        <v>2</v>
      </c>
      <c r="E318" t="n">
        <v>226.89</v>
      </c>
      <c r="F318" t="inlineStr">
        <is>
          <t>USD</t>
        </is>
      </c>
      <c r="G318" t="n">
        <v>5</v>
      </c>
      <c r="H318" t="inlineStr">
        <is>
          <t>USD</t>
        </is>
      </c>
    </row>
    <row r="319">
      <c r="A319" t="inlineStr">
        <is>
          <t>B318</t>
        </is>
      </c>
      <c r="B319" t="inlineStr">
        <is>
          <t>VGS</t>
        </is>
      </c>
      <c r="C319" s="5" t="n">
        <v>45999</v>
      </c>
      <c r="D319" t="n">
        <v>10</v>
      </c>
      <c r="E319" t="n">
        <v>154.1</v>
      </c>
      <c r="F319" t="inlineStr">
        <is>
          <t>AUD</t>
        </is>
      </c>
      <c r="G319" t="n">
        <v>9.5</v>
      </c>
      <c r="H319" t="inlineStr">
        <is>
          <t>AUD</t>
        </is>
      </c>
    </row>
    <row r="320">
      <c r="A320" t="inlineStr">
        <is>
          <t>B319</t>
        </is>
      </c>
      <c r="B320" t="inlineStr">
        <is>
          <t>A200</t>
        </is>
      </c>
      <c r="C320" s="5" t="n">
        <v>46027</v>
      </c>
      <c r="D320" t="n">
        <v>9</v>
      </c>
      <c r="E320" t="n">
        <v>145.25</v>
      </c>
      <c r="F320" t="inlineStr">
        <is>
          <t>AUD</t>
        </is>
      </c>
      <c r="G320" t="n">
        <v>9.5</v>
      </c>
      <c r="H320" t="inlineStr">
        <is>
          <t>AUD</t>
        </is>
      </c>
    </row>
    <row r="321">
      <c r="A321" t="inlineStr">
        <is>
          <t>B320</t>
        </is>
      </c>
      <c r="B321" t="inlineStr">
        <is>
          <t>VGS</t>
        </is>
      </c>
      <c r="C321" s="5" t="n">
        <v>46027</v>
      </c>
      <c r="D321" t="n">
        <v>11</v>
      </c>
      <c r="E321" t="n">
        <v>154</v>
      </c>
      <c r="F321" t="inlineStr">
        <is>
          <t>AUD</t>
        </is>
      </c>
      <c r="G321" t="n">
        <v>9.5</v>
      </c>
      <c r="H321" t="inlineStr">
        <is>
          <t>AUD</t>
        </is>
      </c>
    </row>
    <row r="322">
      <c r="A322" t="inlineStr">
        <is>
          <t>B321</t>
        </is>
      </c>
      <c r="B322" t="inlineStr">
        <is>
          <t>MSFT</t>
        </is>
      </c>
      <c r="C322" s="5" t="n">
        <v>46031</v>
      </c>
      <c r="D322" t="n">
        <v>1</v>
      </c>
      <c r="E322" t="n">
        <v>479.28</v>
      </c>
      <c r="F322" t="inlineStr">
        <is>
          <t>USD</t>
        </is>
      </c>
      <c r="G322" t="n">
        <v>5</v>
      </c>
      <c r="H322" t="inlineStr">
        <is>
          <t>USD</t>
        </is>
      </c>
    </row>
    <row r="323">
      <c r="A323" t="inlineStr">
        <is>
          <t>B322</t>
        </is>
      </c>
      <c r="B323" t="inlineStr">
        <is>
          <t>A200</t>
        </is>
      </c>
      <c r="C323" s="5" t="n">
        <v>46055</v>
      </c>
      <c r="D323" t="n">
        <v>6</v>
      </c>
      <c r="E323" t="n">
        <v>146.07</v>
      </c>
      <c r="F323" t="inlineStr">
        <is>
          <t>AUD</t>
        </is>
      </c>
      <c r="G323" t="n">
        <v>9.5</v>
      </c>
      <c r="H323" t="inlineStr">
        <is>
          <t>AUD</t>
        </is>
      </c>
    </row>
    <row r="324">
      <c r="A324" t="inlineStr">
        <is>
          <t>B323</t>
        </is>
      </c>
      <c r="B324" t="inlineStr">
        <is>
          <t>VGS</t>
        </is>
      </c>
      <c r="C324" s="5" t="n">
        <v>46055</v>
      </c>
      <c r="D324" t="n">
        <v>7</v>
      </c>
      <c r="E324" t="n">
        <v>148.84</v>
      </c>
      <c r="F324" t="inlineStr">
        <is>
          <t>AUD</t>
        </is>
      </c>
      <c r="G324" t="n">
        <v>9.5</v>
      </c>
      <c r="H324" t="inlineStr">
        <is>
          <t>AUD</t>
        </is>
      </c>
    </row>
    <row r="325">
      <c r="A325" t="inlineStr">
        <is>
          <t>B324</t>
        </is>
      </c>
      <c r="B325" t="inlineStr">
        <is>
          <t>A200</t>
        </is>
      </c>
      <c r="C325" s="5" t="n">
        <v>46085</v>
      </c>
      <c r="D325" t="n">
        <v>10</v>
      </c>
      <c r="E325" t="n">
        <v>149</v>
      </c>
      <c r="F325" t="inlineStr">
        <is>
          <t>AUD</t>
        </is>
      </c>
      <c r="G325" t="n">
        <v>9.5</v>
      </c>
      <c r="H325" t="inlineStr">
        <is>
          <t>AUD</t>
        </is>
      </c>
    </row>
    <row r="326">
      <c r="A326" t="inlineStr">
        <is>
          <t>B325</t>
        </is>
      </c>
      <c r="B326" t="inlineStr">
        <is>
          <t>VGS</t>
        </is>
      </c>
      <c r="C326" s="5" t="n">
        <v>46085</v>
      </c>
      <c r="D326" t="n">
        <v>13</v>
      </c>
      <c r="E326" t="n">
        <v>145.9</v>
      </c>
      <c r="F326" t="inlineStr">
        <is>
          <t>AUD</t>
        </is>
      </c>
      <c r="G326" t="n">
        <v>9.5</v>
      </c>
      <c r="H326" t="inlineStr">
        <is>
          <t>AUD</t>
        </is>
      </c>
    </row>
    <row r="327">
      <c r="A327" t="inlineStr">
        <is>
          <t>B326</t>
        </is>
      </c>
      <c r="B327" t="inlineStr">
        <is>
          <t>A200</t>
        </is>
      </c>
      <c r="C327" s="5" t="n">
        <v>46119</v>
      </c>
      <c r="D327" t="n">
        <v>4</v>
      </c>
      <c r="E327" t="n">
        <v>145.62</v>
      </c>
      <c r="F327" t="inlineStr">
        <is>
          <t>AUD</t>
        </is>
      </c>
      <c r="G327" t="n">
        <v>9.5</v>
      </c>
      <c r="H327" t="inlineStr">
        <is>
          <t>AUD</t>
        </is>
      </c>
    </row>
    <row r="328">
      <c r="A328" t="inlineStr">
        <is>
          <t>B327</t>
        </is>
      </c>
      <c r="B328" t="inlineStr">
        <is>
          <t>VGS</t>
        </is>
      </c>
      <c r="C328" s="5" t="n">
        <v>46119</v>
      </c>
      <c r="D328" t="n">
        <v>6</v>
      </c>
      <c r="E328" t="n">
        <v>143.75</v>
      </c>
      <c r="F328" t="inlineStr">
        <is>
          <t>AUD</t>
        </is>
      </c>
      <c r="G328" t="n">
        <v>9.5</v>
      </c>
      <c r="H328" t="inlineStr">
        <is>
          <t>AUD</t>
        </is>
      </c>
    </row>
    <row r="329">
      <c r="A329" t="inlineStr">
        <is>
          <t>B328</t>
        </is>
      </c>
      <c r="B329" t="inlineStr">
        <is>
          <t>AAPL</t>
        </is>
      </c>
      <c r="C329" s="5" t="n">
        <v>46132</v>
      </c>
      <c r="D329" t="n">
        <v>2</v>
      </c>
      <c r="E329" t="n">
        <v>273.05</v>
      </c>
      <c r="F329" t="inlineStr">
        <is>
          <t>USD</t>
        </is>
      </c>
      <c r="G329" t="n">
        <v>5</v>
      </c>
      <c r="H329" t="inlineStr">
        <is>
          <t>USD</t>
        </is>
      </c>
    </row>
    <row r="330">
      <c r="A330" t="inlineStr">
        <is>
          <t>B329</t>
        </is>
      </c>
      <c r="B330" t="inlineStr">
        <is>
          <t>AAPL</t>
        </is>
      </c>
      <c r="C330" s="5" t="n">
        <v>46139</v>
      </c>
      <c r="D330" t="n">
        <v>1</v>
      </c>
      <c r="E330" t="n">
        <v>267.61</v>
      </c>
      <c r="F330" t="inlineStr">
        <is>
          <t>USD</t>
        </is>
      </c>
      <c r="G330" t="n">
        <v>5</v>
      </c>
      <c r="H330" t="inlineStr">
        <is>
          <t>USD</t>
        </is>
      </c>
    </row>
    <row r="331">
      <c r="A331" t="inlineStr">
        <is>
          <t>B330</t>
        </is>
      </c>
      <c r="B331" t="inlineStr">
        <is>
          <t>A200</t>
        </is>
      </c>
      <c r="C331" s="5" t="n">
        <v>46146</v>
      </c>
      <c r="D331" t="n">
        <v>9</v>
      </c>
      <c r="E331" t="n">
        <v>145.3</v>
      </c>
      <c r="F331" t="inlineStr">
        <is>
          <t>AUD</t>
        </is>
      </c>
      <c r="G331" t="n">
        <v>9.5</v>
      </c>
      <c r="H331" t="inlineStr">
        <is>
          <t>AUD</t>
        </is>
      </c>
    </row>
    <row r="332">
      <c r="A332" t="inlineStr">
        <is>
          <t>B331</t>
        </is>
      </c>
      <c r="B332" t="inlineStr">
        <is>
          <t>VGS</t>
        </is>
      </c>
      <c r="C332" s="5" t="n">
        <v>46146</v>
      </c>
      <c r="D332" t="n">
        <v>11</v>
      </c>
      <c r="E332" t="n">
        <v>149.91</v>
      </c>
      <c r="F332" t="inlineStr">
        <is>
          <t>AUD</t>
        </is>
      </c>
      <c r="G332" t="n">
        <v>9.5</v>
      </c>
      <c r="H332" t="inlineStr">
        <is>
          <t>AUD</t>
        </is>
      </c>
    </row>
    <row r="333">
      <c r="A333" t="inlineStr">
        <is>
          <t>B332</t>
        </is>
      </c>
      <c r="B333" t="inlineStr">
        <is>
          <t>A200</t>
        </is>
      </c>
      <c r="C333" s="5" t="n">
        <v>46182</v>
      </c>
      <c r="D333" t="n">
        <v>10</v>
      </c>
      <c r="E333" t="n">
        <v>144.36</v>
      </c>
      <c r="F333" t="inlineStr">
        <is>
          <t>AUD</t>
        </is>
      </c>
      <c r="G333" t="n">
        <v>9.5</v>
      </c>
      <c r="H333" t="inlineStr">
        <is>
          <t>AUD</t>
        </is>
      </c>
    </row>
    <row r="334">
      <c r="A334" t="inlineStr">
        <is>
          <t>B333</t>
        </is>
      </c>
      <c r="B334" t="inlineStr">
        <is>
          <t>VGS</t>
        </is>
      </c>
      <c r="C334" s="5" t="n">
        <v>46182</v>
      </c>
      <c r="D334" t="n">
        <v>11</v>
      </c>
      <c r="E334" t="n">
        <v>156.37</v>
      </c>
      <c r="F334" t="inlineStr">
        <is>
          <t>AUD</t>
        </is>
      </c>
      <c r="G334" t="n">
        <v>9.5</v>
      </c>
      <c r="H334" t="inlineStr">
        <is>
          <t>AUD</t>
        </is>
      </c>
    </row>
    <row r="335">
      <c r="A335" t="inlineStr">
        <is>
          <t>B334</t>
        </is>
      </c>
      <c r="B335" t="inlineStr">
        <is>
          <t>AMZN</t>
        </is>
      </c>
      <c r="C335" s="5" t="n">
        <v>46205</v>
      </c>
      <c r="D335" t="n">
        <v>2</v>
      </c>
      <c r="E335" t="n">
        <v>242.67</v>
      </c>
      <c r="F335" t="inlineStr">
        <is>
          <t>USD</t>
        </is>
      </c>
      <c r="G335" t="n">
        <v>5</v>
      </c>
      <c r="H335" t="inlineStr">
        <is>
          <t>USD</t>
        </is>
      </c>
    </row>
    <row r="336">
      <c r="A336" t="inlineStr">
        <is>
          <t>B335</t>
        </is>
      </c>
      <c r="B336" t="inlineStr">
        <is>
          <t>A200</t>
        </is>
      </c>
      <c r="C336" s="5" t="n">
        <v>46209</v>
      </c>
      <c r="D336" t="n">
        <v>9</v>
      </c>
      <c r="E336" t="n">
        <v>147.21</v>
      </c>
      <c r="F336" t="inlineStr">
        <is>
          <t>AUD</t>
        </is>
      </c>
      <c r="G336" t="n">
        <v>9.5</v>
      </c>
      <c r="H336" t="inlineStr">
        <is>
          <t>AUD</t>
        </is>
      </c>
    </row>
    <row r="337">
      <c r="A337" t="inlineStr">
        <is>
          <t>B336</t>
        </is>
      </c>
      <c r="B337" t="inlineStr">
        <is>
          <t>AMZN</t>
        </is>
      </c>
      <c r="C337" s="5" t="n">
        <v>46209</v>
      </c>
      <c r="D337" t="n">
        <v>2</v>
      </c>
      <c r="E337" t="n">
        <v>244.16</v>
      </c>
      <c r="F337" t="inlineStr">
        <is>
          <t>USD</t>
        </is>
      </c>
      <c r="G337" t="n">
        <v>5</v>
      </c>
      <c r="H337" t="inlineStr">
        <is>
          <t>USD</t>
        </is>
      </c>
    </row>
    <row r="338">
      <c r="A338" t="inlineStr">
        <is>
          <t>B337</t>
        </is>
      </c>
      <c r="B338" t="inlineStr">
        <is>
          <t>MSFT</t>
        </is>
      </c>
      <c r="C338" s="5" t="n">
        <v>46209</v>
      </c>
      <c r="D338" t="n">
        <v>2</v>
      </c>
      <c r="E338" t="n">
        <v>386.74</v>
      </c>
      <c r="F338" t="inlineStr">
        <is>
          <t>USD</t>
        </is>
      </c>
      <c r="G338" t="n">
        <v>5</v>
      </c>
      <c r="H338" t="inlineStr">
        <is>
          <t>USD</t>
        </is>
      </c>
    </row>
    <row r="339">
      <c r="A339" t="inlineStr">
        <is>
          <t>B338</t>
        </is>
      </c>
      <c r="B339" t="inlineStr">
        <is>
          <t>VGS</t>
        </is>
      </c>
      <c r="C339" s="5" t="n">
        <v>46209</v>
      </c>
      <c r="D339" t="n">
        <v>10</v>
      </c>
      <c r="E339" t="n">
        <v>161.26</v>
      </c>
      <c r="F339" t="inlineStr">
        <is>
          <t>AUD</t>
        </is>
      </c>
      <c r="G339" t="n">
        <v>9.5</v>
      </c>
      <c r="H339" t="inlineStr">
        <is>
          <t>AUD</t>
        </is>
      </c>
    </row>
    <row r="340">
      <c r="A340" t="inlineStr">
        <is>
          <t>B339</t>
        </is>
      </c>
      <c r="B340" t="inlineStr">
        <is>
          <t>AMZN</t>
        </is>
      </c>
      <c r="C340" s="5" t="n">
        <v>46223</v>
      </c>
      <c r="D340" t="n">
        <v>2</v>
      </c>
      <c r="E340" t="n">
        <v>249.99</v>
      </c>
      <c r="F340" t="inlineStr">
        <is>
          <t>USD</t>
        </is>
      </c>
      <c r="G340" t="n">
        <v>5</v>
      </c>
      <c r="H340" t="inlineStr">
        <is>
          <t>USD</t>
        </is>
      </c>
    </row>
    <row r="341">
      <c r="A341" t="inlineStr">
        <is>
          <t>B340</t>
        </is>
      </c>
      <c r="B341" t="inlineStr">
        <is>
          <t>A200</t>
        </is>
      </c>
      <c r="C341" s="5" t="n">
        <v>46237</v>
      </c>
      <c r="D341" t="n">
        <v>8</v>
      </c>
      <c r="E341" t="n">
        <v>150.42</v>
      </c>
      <c r="F341" t="inlineStr">
        <is>
          <t>AUD</t>
        </is>
      </c>
      <c r="G341" t="n">
        <v>9.5</v>
      </c>
      <c r="H341" t="inlineStr">
        <is>
          <t>AUD</t>
        </is>
      </c>
    </row>
    <row r="342">
      <c r="A342" t="inlineStr">
        <is>
          <t>B341</t>
        </is>
      </c>
      <c r="B342" t="inlineStr">
        <is>
          <t>AMZN</t>
        </is>
      </c>
      <c r="C342" s="5" t="n">
        <v>46237</v>
      </c>
      <c r="D342" t="n">
        <v>3</v>
      </c>
      <c r="E342" t="n">
        <v>284.02</v>
      </c>
      <c r="F342" t="inlineStr">
        <is>
          <t>USD</t>
        </is>
      </c>
      <c r="G342" t="n">
        <v>5</v>
      </c>
      <c r="H342" t="inlineStr">
        <is>
          <t>USD</t>
        </is>
      </c>
    </row>
    <row r="343">
      <c r="A343" t="inlineStr">
        <is>
          <t>B342</t>
        </is>
      </c>
      <c r="B343" t="inlineStr">
        <is>
          <t>VGS</t>
        </is>
      </c>
      <c r="C343" s="5" t="n">
        <v>46237</v>
      </c>
      <c r="D343" t="n">
        <v>9</v>
      </c>
      <c r="E343" t="n">
        <v>159.83</v>
      </c>
      <c r="F343" t="inlineStr">
        <is>
          <t>AUD</t>
        </is>
      </c>
      <c r="G343" t="n">
        <v>9.5</v>
      </c>
      <c r="H343" t="inlineStr">
        <is>
          <t>AUD</t>
        </is>
      </c>
    </row>
    <row r="344">
      <c r="A344" t="inlineStr">
        <is>
          <t>B343</t>
        </is>
      </c>
      <c r="B344" t="inlineStr">
        <is>
          <t>MSFT</t>
        </is>
      </c>
      <c r="C344" s="5" t="n">
        <v>46244</v>
      </c>
      <c r="D344" t="n">
        <v>2</v>
      </c>
      <c r="E344" t="n">
        <v>506.06</v>
      </c>
      <c r="F344" t="inlineStr">
        <is>
          <t>USD</t>
        </is>
      </c>
      <c r="G344" t="n">
        <v>5</v>
      </c>
      <c r="H344" t="inlineStr">
        <is>
          <t>USD</t>
        </is>
      </c>
    </row>
    <row r="345">
      <c r="A345" t="inlineStr">
        <is>
          <t>B344</t>
        </is>
      </c>
      <c r="B345" t="inlineStr">
        <is>
          <t>AAPL</t>
        </is>
      </c>
      <c r="C345" s="5" t="n">
        <v>46265</v>
      </c>
      <c r="D345" t="n">
        <v>1</v>
      </c>
      <c r="E345" t="n">
        <v>316.85</v>
      </c>
      <c r="F345" t="inlineStr">
        <is>
          <t>USD</t>
        </is>
      </c>
      <c r="G345" t="n">
        <v>5</v>
      </c>
      <c r="H345" t="inlineStr">
        <is>
          <t>USD</t>
        </is>
      </c>
    </row>
    <row r="346">
      <c r="A346" t="inlineStr">
        <is>
          <t>B345</t>
        </is>
      </c>
      <c r="B346" t="inlineStr">
        <is>
          <t>A200</t>
        </is>
      </c>
      <c r="C346" s="5" t="n">
        <v>46267</v>
      </c>
      <c r="D346" t="n">
        <v>11</v>
      </c>
      <c r="E346" t="n">
        <v>150.59</v>
      </c>
      <c r="F346" t="inlineStr">
        <is>
          <t>AUD</t>
        </is>
      </c>
      <c r="G346" t="n">
        <v>9.5</v>
      </c>
      <c r="H346" t="inlineStr">
        <is>
          <t>AUD</t>
        </is>
      </c>
    </row>
    <row r="347">
      <c r="A347" t="inlineStr">
        <is>
          <t>B346</t>
        </is>
      </c>
      <c r="B347" t="inlineStr">
        <is>
          <t>VGS</t>
        </is>
      </c>
      <c r="C347" s="5" t="n">
        <v>46267</v>
      </c>
      <c r="D347" t="n">
        <v>12</v>
      </c>
      <c r="E347" t="n">
        <v>158.89</v>
      </c>
      <c r="F347" t="inlineStr">
        <is>
          <t>AUD</t>
        </is>
      </c>
      <c r="G347" t="n">
        <v>9.5</v>
      </c>
      <c r="H347" t="inlineStr">
        <is>
          <t>AUD</t>
        </is>
      </c>
    </row>
    <row r="348">
      <c r="A348" t="inlineStr">
        <is>
          <t>B347</t>
        </is>
      </c>
      <c r="B348" t="inlineStr">
        <is>
          <t>MSFT</t>
        </is>
      </c>
      <c r="C348" s="5" t="n">
        <v>46273</v>
      </c>
      <c r="D348" t="n">
        <v>2</v>
      </c>
      <c r="E348" t="n">
        <v>493.95</v>
      </c>
      <c r="F348" t="inlineStr">
        <is>
          <t>USD</t>
        </is>
      </c>
      <c r="G348" t="n">
        <v>5</v>
      </c>
      <c r="H348" t="inlineStr">
        <is>
          <t>USD</t>
        </is>
      </c>
    </row>
  </sheetData>
  <dataValidations count="2">
    <dataValidation sqref="F2:F848" showDropDown="0" showInputMessage="0" showErrorMessage="1" allowBlank="1" errorTitle="Not an allowed value" error="Pick a value for unit_price_currency from the list." type="list">
      <formula1>'ValueAssistance'!$B$2:$B$308</formula1>
    </dataValidation>
    <dataValidation sqref="H2:H848" showDropDown="0" showInputMessage="0" showErrorMessage="1" allowBlank="1" errorTitle="Not an allowed value" error="Pick a value for total_brokerage_currency from the list." type="list">
      <formula1>'ValueAssistance'!$B$2:$B$308</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1.2" customWidth="1" min="1" max="1"/>
    <col width="18.2" customWidth="1" min="2" max="2"/>
    <col width="12.2" customWidth="1" min="3" max="3"/>
    <col width="10.2" customWidth="1" min="4" max="4"/>
    <col width="12.2" customWidth="1" min="5" max="5"/>
    <col width="21.2" customWidth="1" min="6" max="6"/>
    <col width="17.2" customWidth="1" min="7" max="7"/>
    <col width="26.2" customWidth="1" min="8" max="8"/>
    <col width="35.2" customWidth="1" min="9" max="9"/>
    <col width="10.2" customWidth="1" min="10" max="10"/>
    <col width="82.2" customWidth="1" min="11" max="11"/>
  </cols>
  <sheetData>
    <row r="1" ht="32" customHeight="1">
      <c r="A1" s="1" t="inlineStr">
        <is>
          <t>legacy_id</t>
        </is>
      </c>
      <c r="B1" s="1" t="inlineStr">
        <is>
          <t>instrument__name</t>
        </is>
      </c>
      <c r="C1" s="1" t="inlineStr">
        <is>
          <t>date</t>
        </is>
      </c>
      <c r="D1" s="1" t="inlineStr">
        <is>
          <t>quantity</t>
        </is>
      </c>
      <c r="E1" s="1" t="inlineStr">
        <is>
          <t>unit_price</t>
        </is>
      </c>
      <c r="F1" s="1" t="inlineStr">
        <is>
          <t>unit_price_currency</t>
        </is>
      </c>
      <c r="G1" s="1" t="inlineStr">
        <is>
          <t>total_brokerage</t>
        </is>
      </c>
      <c r="H1" s="1" t="inlineStr">
        <is>
          <t>total_brokerage_currency</t>
        </is>
      </c>
      <c r="I1" s="1" t="inlineStr">
        <is>
          <t>file</t>
        </is>
      </c>
      <c r="J1" s="1" t="inlineStr">
        <is>
          <t>strategy</t>
        </is>
      </c>
      <c r="K1" s="1" t="inlineStr">
        <is>
          <t>notes</t>
        </is>
      </c>
    </row>
    <row r="2">
      <c r="A2" t="inlineStr">
        <is>
          <t>S001</t>
        </is>
      </c>
      <c r="B2" t="inlineStr">
        <is>
          <t>VAS</t>
        </is>
      </c>
      <c r="C2" s="5" t="n">
        <v>43538</v>
      </c>
      <c r="D2" t="n">
        <v>197</v>
      </c>
      <c r="E2" t="n">
        <v>79.09999999999999</v>
      </c>
      <c r="F2" t="inlineStr">
        <is>
          <t>AUD</t>
        </is>
      </c>
      <c r="G2" t="n">
        <v>9.5</v>
      </c>
      <c r="H2" t="inlineStr">
        <is>
          <t>AUD</t>
        </is>
      </c>
      <c r="I2" t="inlineStr">
        <is>
          <t>C:\full_path_to_file\sell-001.pdf</t>
        </is>
      </c>
      <c r="J2" t="inlineStr">
        <is>
          <t>FIFO</t>
        </is>
      </c>
      <c r="K2" t="inlineStr">
        <is>
          <t>FAKE DATA - generated for demonstration, not a real portfolio</t>
        </is>
      </c>
    </row>
    <row r="3">
      <c r="A3" t="inlineStr">
        <is>
          <t>S002</t>
        </is>
      </c>
      <c r="B3" t="inlineStr">
        <is>
          <t>VAS</t>
        </is>
      </c>
      <c r="C3" s="5" t="n">
        <v>43697</v>
      </c>
      <c r="D3" t="n">
        <v>131</v>
      </c>
      <c r="E3" t="n">
        <v>83.23</v>
      </c>
      <c r="F3" t="inlineStr">
        <is>
          <t>AUD</t>
        </is>
      </c>
      <c r="G3" t="n">
        <v>9.5</v>
      </c>
      <c r="H3" t="inlineStr">
        <is>
          <t>AUD</t>
        </is>
      </c>
      <c r="J3" t="inlineStr">
        <is>
          <t>FIFO</t>
        </is>
      </c>
    </row>
    <row r="4">
      <c r="A4" t="inlineStr">
        <is>
          <t>S003</t>
        </is>
      </c>
      <c r="B4" t="inlineStr">
        <is>
          <t>TLS</t>
        </is>
      </c>
      <c r="C4" s="5" t="n">
        <v>43753</v>
      </c>
      <c r="D4" t="n">
        <v>809</v>
      </c>
      <c r="E4" t="n">
        <v>3.54</v>
      </c>
      <c r="F4" t="inlineStr">
        <is>
          <t>AUD</t>
        </is>
      </c>
      <c r="G4" t="n">
        <v>9.5</v>
      </c>
      <c r="H4" t="inlineStr">
        <is>
          <t>AUD</t>
        </is>
      </c>
      <c r="J4" t="inlineStr">
        <is>
          <t>FIFO</t>
        </is>
      </c>
    </row>
    <row r="5">
      <c r="A5" t="inlineStr">
        <is>
          <t>S004</t>
        </is>
      </c>
      <c r="B5" t="inlineStr">
        <is>
          <t>WES</t>
        </is>
      </c>
      <c r="C5" s="5" t="n">
        <v>44642</v>
      </c>
      <c r="D5" t="n">
        <v>65</v>
      </c>
      <c r="E5" t="n">
        <v>50.4</v>
      </c>
      <c r="F5" t="inlineStr">
        <is>
          <t>AUD</t>
        </is>
      </c>
      <c r="G5" t="n">
        <v>9.5</v>
      </c>
      <c r="H5" t="inlineStr">
        <is>
          <t>AUD</t>
        </is>
      </c>
      <c r="J5" t="inlineStr">
        <is>
          <t>MANUAL</t>
        </is>
      </c>
      <c r="K5" s="3" t="inlineStr">
        <is>
          <t>Strategy is MANUAL, so the SellAllocation table must be populated with the parcels this sale consumes.</t>
        </is>
      </c>
    </row>
    <row r="6">
      <c r="A6" t="inlineStr">
        <is>
          <t>S005</t>
        </is>
      </c>
      <c r="B6" t="inlineStr">
        <is>
          <t>MSFT</t>
        </is>
      </c>
      <c r="C6" s="5" t="n">
        <v>45608</v>
      </c>
      <c r="D6" t="n">
        <v>31</v>
      </c>
      <c r="E6" t="n">
        <v>423.03</v>
      </c>
      <c r="F6" t="inlineStr">
        <is>
          <t>USD</t>
        </is>
      </c>
      <c r="G6" t="n">
        <v>5</v>
      </c>
      <c r="H6" t="inlineStr">
        <is>
          <t>USD</t>
        </is>
      </c>
      <c r="J6" t="inlineStr">
        <is>
          <t>MIN_CGT</t>
        </is>
      </c>
    </row>
  </sheetData>
  <dataValidations count="3">
    <dataValidation sqref="F2:F506" showDropDown="0" showInputMessage="0" showErrorMessage="1" allowBlank="1" errorTitle="Not an allowed value" error="Pick a value for unit_price_currency from the list." type="list">
      <formula1>'ValueAssistance'!$B$2:$B$308</formula1>
    </dataValidation>
    <dataValidation sqref="H2:H506" showDropDown="0" showInputMessage="0" showErrorMessage="1" allowBlank="1" errorTitle="Not an allowed value" error="Pick a value for total_brokerage_currency from the list." type="list">
      <formula1>'ValueAssistance'!$B$2:$B$308</formula1>
    </dataValidation>
    <dataValidation sqref="J2:J506" showDropDown="0" showInputMessage="0" showErrorMessage="1" allowBlank="1" errorTitle="Not an allowed value" error="Pick a value for strategy from the list." type="list">
      <formula1>'ValueAssistance'!$E$2:$E$5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3.2" customWidth="1" min="1" max="1"/>
    <col width="10.2" customWidth="1" min="2" max="2"/>
    <col width="20.2" customWidth="1" min="3" max="3"/>
    <col width="19.2" customWidth="1" min="4" max="4"/>
    <col width="82.2" customWidth="1" min="5" max="5"/>
  </cols>
  <sheetData>
    <row r="1" ht="32" customHeight="1">
      <c r="A1" s="1" t="inlineStr">
        <is>
          <t>legacy_id</t>
        </is>
      </c>
      <c r="B1" s="1" t="inlineStr">
        <is>
          <t>quantity</t>
        </is>
      </c>
      <c r="C1" s="1" t="inlineStr">
        <is>
          <t>lookup_legacy_sell</t>
        </is>
      </c>
      <c r="D1" s="1" t="inlineStr">
        <is>
          <t>lookup_legacy_buy</t>
        </is>
      </c>
      <c r="E1" s="1" t="inlineStr">
        <is>
          <t>notes</t>
        </is>
      </c>
    </row>
    <row r="2">
      <c r="A2" t="inlineStr">
        <is>
          <t>S004 - B073</t>
        </is>
      </c>
      <c r="B2" t="n">
        <v>14</v>
      </c>
      <c r="C2" t="inlineStr">
        <is>
          <t>S004</t>
        </is>
      </c>
      <c r="D2" t="inlineStr">
        <is>
          <t>B073</t>
        </is>
      </c>
      <c r="E2" s="3" t="inlineStr">
        <is>
          <t>FAKE DATA - generated for demonstration, not a real portfolio. lookup_legacy_sell and lookup_legacy_buy must match the legacy_id of the Sell and Buy rows.</t>
        </is>
      </c>
    </row>
    <row r="3">
      <c r="A3" t="inlineStr">
        <is>
          <t>S004 - B091</t>
        </is>
      </c>
      <c r="B3" t="n">
        <v>23</v>
      </c>
      <c r="C3" t="inlineStr">
        <is>
          <t>S004</t>
        </is>
      </c>
      <c r="D3" t="inlineStr">
        <is>
          <t>B091</t>
        </is>
      </c>
    </row>
    <row r="4">
      <c r="A4" t="inlineStr">
        <is>
          <t>S004 - B120</t>
        </is>
      </c>
      <c r="B4" t="n">
        <v>28</v>
      </c>
      <c r="C4" t="inlineStr">
        <is>
          <t>S004</t>
        </is>
      </c>
      <c r="D4" t="inlineStr">
        <is>
          <t>B120</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2" customWidth="1" min="1" max="1"/>
    <col width="17.2" customWidth="1" min="2" max="2"/>
    <col width="18.2" customWidth="1" min="3" max="3"/>
    <col width="17.2" customWidth="1" min="4" max="4"/>
    <col width="16.2" customWidth="1" min="5" max="5"/>
    <col width="12.2" customWidth="1" min="6" max="6"/>
    <col width="6.2" customWidth="1" min="7" max="7"/>
    <col width="63.2" customWidth="1" min="8" max="8"/>
  </cols>
  <sheetData>
    <row r="1" ht="32" customHeight="1">
      <c r="A1" s="1" t="inlineStr">
        <is>
          <t>legacy_id</t>
        </is>
      </c>
      <c r="B1" s="1" t="inlineStr">
        <is>
          <t>description</t>
        </is>
      </c>
      <c r="C1" s="1" t="inlineStr">
        <is>
          <t>instrument__name</t>
        </is>
      </c>
      <c r="D1" s="1" t="inlineStr">
        <is>
          <t>quantity_before</t>
        </is>
      </c>
      <c r="E1" s="1" t="inlineStr">
        <is>
          <t>quantity_after</t>
        </is>
      </c>
      <c r="F1" s="1" t="inlineStr">
        <is>
          <t>date</t>
        </is>
      </c>
      <c r="G1" s="1" t="inlineStr">
        <is>
          <t>file</t>
        </is>
      </c>
      <c r="H1" s="1" t="inlineStr">
        <is>
          <t>notes</t>
        </is>
      </c>
    </row>
    <row r="2">
      <c r="A2" t="inlineStr">
        <is>
          <t>SP1</t>
        </is>
      </c>
      <c r="B2" t="inlineStr">
        <is>
          <t>AAPL 1:4 split</t>
        </is>
      </c>
      <c r="C2" t="inlineStr">
        <is>
          <t>AAPL</t>
        </is>
      </c>
      <c r="D2" t="n">
        <v>1</v>
      </c>
      <c r="E2" t="n">
        <v>4</v>
      </c>
      <c r="F2" s="5" t="n">
        <v>44074</v>
      </c>
      <c r="H2" t="inlineStr">
        <is>
          <t>FAKE DATA - generated for demonstration, not a real portfolio</t>
        </is>
      </c>
    </row>
    <row r="3">
      <c r="A3" t="inlineStr">
        <is>
          <t>SP2</t>
        </is>
      </c>
      <c r="B3" t="inlineStr">
        <is>
          <t>AMZN 1:20 split</t>
        </is>
      </c>
      <c r="C3" t="inlineStr">
        <is>
          <t>AMZN</t>
        </is>
      </c>
      <c r="D3" t="n">
        <v>1</v>
      </c>
      <c r="E3" t="n">
        <v>20</v>
      </c>
      <c r="F3" s="5" t="n">
        <v>44718</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1.2" customWidth="1" min="1" max="1"/>
    <col width="13.2" customWidth="1" min="2" max="2"/>
    <col width="20.2" customWidth="1" min="3" max="3"/>
    <col width="29.2" customWidth="1" min="4" max="4"/>
    <col width="18.2" customWidth="1" min="5" max="5"/>
    <col width="25.2" customWidth="1" min="6" max="6"/>
    <col width="6.2" customWidth="1" min="7" max="7"/>
    <col width="19.2" customWidth="1" min="8" max="8"/>
    <col width="63.2" customWidth="1" min="9" max="9"/>
  </cols>
  <sheetData>
    <row r="1" ht="32" customHeight="1">
      <c r="A1" s="1" t="inlineStr">
        <is>
          <t>legacy_id</t>
        </is>
      </c>
      <c r="B1" s="1" t="inlineStr">
        <is>
          <t>description</t>
        </is>
      </c>
      <c r="C1" s="1" t="inlineStr">
        <is>
          <t>cost_base_increase</t>
        </is>
      </c>
      <c r="D1" s="1" t="inlineStr">
        <is>
          <t>cost_base_increase_currency</t>
        </is>
      </c>
      <c r="E1" s="1" t="inlineStr">
        <is>
          <t>instrument__name</t>
        </is>
      </c>
      <c r="F1" s="1" t="inlineStr">
        <is>
          <t>financial_year_end_date</t>
        </is>
      </c>
      <c r="G1" s="1" t="inlineStr">
        <is>
          <t>file</t>
        </is>
      </c>
      <c r="H1" s="1" t="inlineStr">
        <is>
          <t>allocation_method</t>
        </is>
      </c>
      <c r="I1" s="1" t="inlineStr">
        <is>
          <t>notes</t>
        </is>
      </c>
    </row>
    <row r="2">
      <c r="A2" t="inlineStr">
        <is>
          <t>A001</t>
        </is>
      </c>
      <c r="C2" t="n">
        <v>2.7</v>
      </c>
      <c r="D2" t="inlineStr">
        <is>
          <t>AUD</t>
        </is>
      </c>
      <c r="E2" t="inlineStr">
        <is>
          <t>VAS</t>
        </is>
      </c>
      <c r="F2" s="5" t="n">
        <v>42916</v>
      </c>
      <c r="H2" t="inlineStr">
        <is>
          <t>QTY_HELD</t>
        </is>
      </c>
      <c r="I2" t="inlineStr">
        <is>
          <t>FAKE DATA - generated for demonstration, not a real portfolio</t>
        </is>
      </c>
    </row>
    <row r="3">
      <c r="A3" t="inlineStr">
        <is>
          <t>A002</t>
        </is>
      </c>
      <c r="C3" t="n">
        <v>7.49</v>
      </c>
      <c r="D3" t="inlineStr">
        <is>
          <t>AUD</t>
        </is>
      </c>
      <c r="E3" t="inlineStr">
        <is>
          <t>VGS</t>
        </is>
      </c>
      <c r="F3" s="5" t="n">
        <v>42916</v>
      </c>
      <c r="H3" t="inlineStr">
        <is>
          <t>QTY_HELD</t>
        </is>
      </c>
    </row>
    <row r="4">
      <c r="A4" t="inlineStr">
        <is>
          <t>A003</t>
        </is>
      </c>
      <c r="C4" t="n">
        <v>-67.83</v>
      </c>
      <c r="D4" t="inlineStr">
        <is>
          <t>AUD</t>
        </is>
      </c>
      <c r="E4" t="inlineStr">
        <is>
          <t>VAS</t>
        </is>
      </c>
      <c r="F4" s="5" t="n">
        <v>43281</v>
      </c>
      <c r="H4" t="inlineStr">
        <is>
          <t>QTY_HELD</t>
        </is>
      </c>
    </row>
    <row r="5">
      <c r="A5" t="inlineStr">
        <is>
          <t>A004</t>
        </is>
      </c>
      <c r="C5" t="n">
        <v>-60.31</v>
      </c>
      <c r="D5" t="inlineStr">
        <is>
          <t>AUD</t>
        </is>
      </c>
      <c r="E5" t="inlineStr">
        <is>
          <t>VGS</t>
        </is>
      </c>
      <c r="F5" s="5" t="n">
        <v>43281</v>
      </c>
      <c r="H5" t="inlineStr">
        <is>
          <t>QTY_HELD</t>
        </is>
      </c>
    </row>
    <row r="6">
      <c r="A6" t="inlineStr">
        <is>
          <t>A005</t>
        </is>
      </c>
      <c r="C6" t="n">
        <v>14.66</v>
      </c>
      <c r="D6" t="inlineStr">
        <is>
          <t>AUD</t>
        </is>
      </c>
      <c r="E6" t="inlineStr">
        <is>
          <t>A200</t>
        </is>
      </c>
      <c r="F6" s="5" t="n">
        <v>43646</v>
      </c>
      <c r="H6" t="inlineStr">
        <is>
          <t>QTY_HELD</t>
        </is>
      </c>
    </row>
    <row r="7">
      <c r="A7" t="inlineStr">
        <is>
          <t>A006</t>
        </is>
      </c>
      <c r="C7" t="n">
        <v>54.17</v>
      </c>
      <c r="D7" t="inlineStr">
        <is>
          <t>AUD</t>
        </is>
      </c>
      <c r="E7" t="inlineStr">
        <is>
          <t>VAS</t>
        </is>
      </c>
      <c r="F7" s="5" t="n">
        <v>43646</v>
      </c>
      <c r="H7" t="inlineStr">
        <is>
          <t>QTY_HELD</t>
        </is>
      </c>
    </row>
    <row r="8">
      <c r="A8" t="inlineStr">
        <is>
          <t>A007</t>
        </is>
      </c>
      <c r="C8" t="n">
        <v>46.66</v>
      </c>
      <c r="D8" t="inlineStr">
        <is>
          <t>AUD</t>
        </is>
      </c>
      <c r="E8" t="inlineStr">
        <is>
          <t>VGS</t>
        </is>
      </c>
      <c r="F8" s="5" t="n">
        <v>43646</v>
      </c>
      <c r="H8" t="inlineStr">
        <is>
          <t>QTY_HELD</t>
        </is>
      </c>
    </row>
    <row r="9">
      <c r="A9" t="inlineStr">
        <is>
          <t>A008</t>
        </is>
      </c>
      <c r="C9" t="n">
        <v>54.14</v>
      </c>
      <c r="D9" t="inlineStr">
        <is>
          <t>AUD</t>
        </is>
      </c>
      <c r="E9" t="inlineStr">
        <is>
          <t>A200</t>
        </is>
      </c>
      <c r="F9" s="5" t="n">
        <v>44012</v>
      </c>
      <c r="H9" t="inlineStr">
        <is>
          <t>QTY_HELD</t>
        </is>
      </c>
    </row>
    <row r="10">
      <c r="A10" t="inlineStr">
        <is>
          <t>A009</t>
        </is>
      </c>
      <c r="C10" t="n">
        <v>167.97</v>
      </c>
      <c r="D10" t="inlineStr">
        <is>
          <t>AUD</t>
        </is>
      </c>
      <c r="E10" t="inlineStr">
        <is>
          <t>VGS</t>
        </is>
      </c>
      <c r="F10" s="5" t="n">
        <v>44012</v>
      </c>
      <c r="H10" t="inlineStr">
        <is>
          <t>QTY_HELD</t>
        </is>
      </c>
    </row>
    <row r="11">
      <c r="A11" t="inlineStr">
        <is>
          <t>A010</t>
        </is>
      </c>
      <c r="C11" t="n">
        <v>48.94</v>
      </c>
      <c r="D11" t="inlineStr">
        <is>
          <t>AUD</t>
        </is>
      </c>
      <c r="E11" t="inlineStr">
        <is>
          <t>A200</t>
        </is>
      </c>
      <c r="F11" s="5" t="n">
        <v>44377</v>
      </c>
      <c r="H11" t="inlineStr">
        <is>
          <t>QTY_HELD</t>
        </is>
      </c>
    </row>
    <row r="12">
      <c r="A12" t="inlineStr">
        <is>
          <t>A011</t>
        </is>
      </c>
      <c r="C12" t="n">
        <v>99.95999999999999</v>
      </c>
      <c r="D12" t="inlineStr">
        <is>
          <t>AUD</t>
        </is>
      </c>
      <c r="E12" t="inlineStr">
        <is>
          <t>VGS</t>
        </is>
      </c>
      <c r="F12" s="5" t="n">
        <v>44377</v>
      </c>
      <c r="H12" t="inlineStr">
        <is>
          <t>QTY_HELD</t>
        </is>
      </c>
    </row>
    <row r="13">
      <c r="A13" t="inlineStr">
        <is>
          <t>A012</t>
        </is>
      </c>
      <c r="C13" t="n">
        <v>147.91</v>
      </c>
      <c r="D13" t="inlineStr">
        <is>
          <t>AUD</t>
        </is>
      </c>
      <c r="E13" t="inlineStr">
        <is>
          <t>A200</t>
        </is>
      </c>
      <c r="F13" s="5" t="n">
        <v>44742</v>
      </c>
      <c r="H13" t="inlineStr">
        <is>
          <t>QTY_HELD</t>
        </is>
      </c>
    </row>
    <row r="14">
      <c r="A14" t="inlineStr">
        <is>
          <t>A013</t>
        </is>
      </c>
      <c r="C14" t="n">
        <v>189.54</v>
      </c>
      <c r="D14" t="inlineStr">
        <is>
          <t>AUD</t>
        </is>
      </c>
      <c r="E14" t="inlineStr">
        <is>
          <t>VGS</t>
        </is>
      </c>
      <c r="F14" s="5" t="n">
        <v>44742</v>
      </c>
      <c r="H14" t="inlineStr">
        <is>
          <t>QTY_HELD</t>
        </is>
      </c>
    </row>
    <row r="15">
      <c r="A15" t="inlineStr">
        <is>
          <t>A014</t>
        </is>
      </c>
      <c r="C15" t="n">
        <v>-416.72</v>
      </c>
      <c r="D15" t="inlineStr">
        <is>
          <t>AUD</t>
        </is>
      </c>
      <c r="E15" t="inlineStr">
        <is>
          <t>A200</t>
        </is>
      </c>
      <c r="F15" s="5" t="n">
        <v>45107</v>
      </c>
      <c r="H15" t="inlineStr">
        <is>
          <t>QTY_HELD</t>
        </is>
      </c>
    </row>
    <row r="16">
      <c r="A16" t="inlineStr">
        <is>
          <t>A015</t>
        </is>
      </c>
      <c r="C16" t="n">
        <v>-89.95999999999999</v>
      </c>
      <c r="D16" t="inlineStr">
        <is>
          <t>AUD</t>
        </is>
      </c>
      <c r="E16" t="inlineStr">
        <is>
          <t>VGS</t>
        </is>
      </c>
      <c r="F16" s="5" t="n">
        <v>45107</v>
      </c>
      <c r="H16" t="inlineStr">
        <is>
          <t>QTY_HELD</t>
        </is>
      </c>
    </row>
    <row r="17">
      <c r="A17" t="inlineStr">
        <is>
          <t>A016</t>
        </is>
      </c>
      <c r="C17" t="n">
        <v>117.92</v>
      </c>
      <c r="D17" t="inlineStr">
        <is>
          <t>AUD</t>
        </is>
      </c>
      <c r="E17" t="inlineStr">
        <is>
          <t>A200</t>
        </is>
      </c>
      <c r="F17" s="5" t="n">
        <v>45473</v>
      </c>
      <c r="H17" t="inlineStr">
        <is>
          <t>QTY_HELD</t>
        </is>
      </c>
    </row>
    <row r="18">
      <c r="A18" t="inlineStr">
        <is>
          <t>A017</t>
        </is>
      </c>
      <c r="C18" t="n">
        <v>609.24</v>
      </c>
      <c r="D18" t="inlineStr">
        <is>
          <t>AUD</t>
        </is>
      </c>
      <c r="E18" t="inlineStr">
        <is>
          <t>VGS</t>
        </is>
      </c>
      <c r="F18" s="5" t="n">
        <v>45473</v>
      </c>
      <c r="H18" t="inlineStr">
        <is>
          <t>QTY_HELD</t>
        </is>
      </c>
    </row>
    <row r="19">
      <c r="A19" t="inlineStr">
        <is>
          <t>A018</t>
        </is>
      </c>
      <c r="C19" t="n">
        <v>288.25</v>
      </c>
      <c r="D19" t="inlineStr">
        <is>
          <t>AUD</t>
        </is>
      </c>
      <c r="E19" t="inlineStr">
        <is>
          <t>A200</t>
        </is>
      </c>
      <c r="F19" s="5" t="n">
        <v>45838</v>
      </c>
      <c r="H19" t="inlineStr">
        <is>
          <t>QTY_HELD</t>
        </is>
      </c>
    </row>
    <row r="20">
      <c r="A20" t="inlineStr">
        <is>
          <t>A019</t>
        </is>
      </c>
      <c r="C20" t="n">
        <v>701.45</v>
      </c>
      <c r="D20" t="inlineStr">
        <is>
          <t>AUD</t>
        </is>
      </c>
      <c r="E20" t="inlineStr">
        <is>
          <t>VGS</t>
        </is>
      </c>
      <c r="F20" s="5" t="n">
        <v>45838</v>
      </c>
      <c r="H20" t="inlineStr">
        <is>
          <t>QTY_HELD</t>
        </is>
      </c>
    </row>
    <row r="21">
      <c r="A21" t="inlineStr">
        <is>
          <t>A020</t>
        </is>
      </c>
      <c r="C21" t="n">
        <v>494.99</v>
      </c>
      <c r="D21" t="inlineStr">
        <is>
          <t>AUD</t>
        </is>
      </c>
      <c r="E21" t="inlineStr">
        <is>
          <t>A200</t>
        </is>
      </c>
      <c r="F21" s="5" t="n">
        <v>46203</v>
      </c>
      <c r="H21" t="inlineStr">
        <is>
          <t>QTY_HELD</t>
        </is>
      </c>
    </row>
    <row r="22">
      <c r="A22" t="inlineStr">
        <is>
          <t>A021</t>
        </is>
      </c>
      <c r="C22" t="n">
        <v>109.68</v>
      </c>
      <c r="D22" t="inlineStr">
        <is>
          <t>AUD</t>
        </is>
      </c>
      <c r="E22" t="inlineStr">
        <is>
          <t>VGS</t>
        </is>
      </c>
      <c r="F22" s="5" t="n">
        <v>46203</v>
      </c>
      <c r="H22" t="inlineStr">
        <is>
          <t>QTY_HELD</t>
        </is>
      </c>
    </row>
  </sheetData>
  <dataValidations count="2">
    <dataValidation sqref="D2:D522" showDropDown="0" showInputMessage="0" showErrorMessage="1" allowBlank="1" errorTitle="Not an allowed value" error="Pick a value for cost_base_increase_currency from the list." type="list">
      <formula1>'ValueAssistance'!$B$2:$B$308</formula1>
    </dataValidation>
    <dataValidation sqref="H2:H522" showDropDown="0" showInputMessage="0" showErrorMessage="1" allowBlank="1" errorTitle="Not an allowed value" error="Pick a value for allocation_method from the list." type="list">
      <formula1>'ValueAssistance'!$F$2:$F$3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127"/>
  <sheetViews>
    <sheetView workbookViewId="0">
      <pane ySplit="1" topLeftCell="A2" activePane="bottomLeft" state="frozen"/>
      <selection pane="bottomLeft" activeCell="A1" sqref="A1"/>
    </sheetView>
  </sheetViews>
  <sheetFormatPr baseColWidth="8" defaultRowHeight="15"/>
  <cols>
    <col width="19.2" customWidth="1" min="1" max="1"/>
    <col width="18.2" customWidth="1" min="2" max="2"/>
    <col width="12.2" customWidth="1" min="3" max="3"/>
    <col width="10.2" customWidth="1" min="4" max="4"/>
    <col width="6.2" customWidth="1" min="5" max="5"/>
    <col width="15.2" customWidth="1" min="6" max="6"/>
    <col width="28.2" customWidth="1" min="7" max="7"/>
    <col width="37.2" customWidth="1" min="8" max="8"/>
    <col width="26.2" customWidth="1" min="9" max="9"/>
    <col width="35.2" customWidth="1" min="10" max="10"/>
    <col width="23.2" customWidth="1" min="11" max="11"/>
    <col width="32.2" customWidth="1" min="12" max="12"/>
    <col width="20.2" customWidth="1" min="13" max="13"/>
    <col width="29.2" customWidth="1" min="14" max="14"/>
    <col width="18.2" customWidth="1" min="15" max="15"/>
    <col width="27.2" customWidth="1" min="16" max="16"/>
    <col width="31.2" customWidth="1" min="17" max="17"/>
    <col width="63.2" customWidth="1" min="18" max="18"/>
  </cols>
  <sheetData>
    <row r="1" ht="32" customHeight="1">
      <c r="A1" s="1" t="inlineStr">
        <is>
          <t>legacy_id</t>
        </is>
      </c>
      <c r="B1" s="1" t="inlineStr">
        <is>
          <t>instrument__name</t>
        </is>
      </c>
      <c r="C1" s="1" t="inlineStr">
        <is>
          <t>date</t>
        </is>
      </c>
      <c r="D1" s="1" t="inlineStr">
        <is>
          <t>quantity</t>
        </is>
      </c>
      <c r="E1" s="1" t="inlineStr">
        <is>
          <t>file</t>
        </is>
      </c>
      <c r="F1" s="1" t="inlineStr">
        <is>
          <t>dividend_type</t>
        </is>
      </c>
      <c r="G1" s="1" t="inlineStr">
        <is>
          <t>unfranked_amount_per_share</t>
        </is>
      </c>
      <c r="H1" s="1" t="inlineStr">
        <is>
          <t>unfranked_amount_per_share_currency</t>
        </is>
      </c>
      <c r="I1" s="1" t="inlineStr">
        <is>
          <t>franked_amount_per_share</t>
        </is>
      </c>
      <c r="J1" s="1" t="inlineStr">
        <is>
          <t>franked_amount_per_share_currency</t>
        </is>
      </c>
      <c r="K1" s="1" t="inlineStr">
        <is>
          <t>local_withholding_tax</t>
        </is>
      </c>
      <c r="L1" s="1" t="inlineStr">
        <is>
          <t>local_withholding_tax_currency</t>
        </is>
      </c>
      <c r="M1" s="1" t="inlineStr">
        <is>
          <t>foreign_tax_credit</t>
        </is>
      </c>
      <c r="N1" s="1" t="inlineStr">
        <is>
          <t>foreign_tax_credit_currency</t>
        </is>
      </c>
      <c r="O1" s="1" t="inlineStr">
        <is>
          <t>lic_capital_gain</t>
        </is>
      </c>
      <c r="P1" s="1" t="inlineStr">
        <is>
          <t>lic_capital_gain_currency</t>
        </is>
      </c>
      <c r="Q1" s="1" t="inlineStr">
        <is>
          <t>corporate_tax_rate_percentage</t>
        </is>
      </c>
      <c r="R1" s="1" t="inlineStr">
        <is>
          <t>notes</t>
        </is>
      </c>
    </row>
    <row r="2">
      <c r="A2" t="inlineStr">
        <is>
          <t>2017-03-29_TLS.AX</t>
        </is>
      </c>
      <c r="B2" t="inlineStr">
        <is>
          <t>TLS</t>
        </is>
      </c>
      <c r="C2" s="5" t="n">
        <v>42823</v>
      </c>
      <c r="D2" t="n">
        <v>195</v>
      </c>
      <c r="F2" t="inlineStr">
        <is>
          <t>LOCAL</t>
        </is>
      </c>
      <c r="G2" t="n">
        <v>0</v>
      </c>
      <c r="H2" t="inlineStr">
        <is>
          <t>AUD</t>
        </is>
      </c>
      <c r="I2" t="n">
        <v>0.155</v>
      </c>
      <c r="J2" t="inlineStr">
        <is>
          <t>AUD</t>
        </is>
      </c>
      <c r="K2" t="n">
        <v>0</v>
      </c>
      <c r="L2" t="inlineStr">
        <is>
          <t>AUD</t>
        </is>
      </c>
      <c r="M2" t="n">
        <v>0</v>
      </c>
      <c r="N2" t="inlineStr">
        <is>
          <t>AUD</t>
        </is>
      </c>
      <c r="O2" t="n">
        <v>0</v>
      </c>
      <c r="P2" t="inlineStr">
        <is>
          <t>AUD</t>
        </is>
      </c>
      <c r="Q2" t="n">
        <v>30</v>
      </c>
      <c r="R2" t="inlineStr">
        <is>
          <t>FAKE DATA - generated for demonstration, not a real portfolio</t>
        </is>
      </c>
    </row>
    <row r="3">
      <c r="A3" t="inlineStr">
        <is>
          <t>2017-05-14_AAPL</t>
        </is>
      </c>
      <c r="B3" t="inlineStr">
        <is>
          <t>AAPL</t>
        </is>
      </c>
      <c r="C3" s="5" t="n">
        <v>42869</v>
      </c>
      <c r="D3" t="n">
        <v>4</v>
      </c>
      <c r="F3" t="inlineStr">
        <is>
          <t>FOREIGN</t>
        </is>
      </c>
      <c r="G3" t="n">
        <v>0.63</v>
      </c>
      <c r="H3" t="inlineStr">
        <is>
          <t>USD</t>
        </is>
      </c>
      <c r="I3" t="n">
        <v>0</v>
      </c>
      <c r="J3" t="inlineStr">
        <is>
          <t>USD</t>
        </is>
      </c>
      <c r="K3" t="n">
        <v>0</v>
      </c>
      <c r="L3" t="inlineStr">
        <is>
          <t>USD</t>
        </is>
      </c>
      <c r="M3" t="n">
        <v>0.38</v>
      </c>
      <c r="N3" t="inlineStr">
        <is>
          <t>USD</t>
        </is>
      </c>
      <c r="O3" t="n">
        <v>0</v>
      </c>
      <c r="P3" t="inlineStr">
        <is>
          <t>USD</t>
        </is>
      </c>
      <c r="Q3" t="n">
        <v>30</v>
      </c>
    </row>
    <row r="4">
      <c r="A4" t="inlineStr">
        <is>
          <t>2017-06-06_MSFT</t>
        </is>
      </c>
      <c r="B4" t="inlineStr">
        <is>
          <t>MSFT</t>
        </is>
      </c>
      <c r="C4" s="5" t="n">
        <v>42892</v>
      </c>
      <c r="D4" t="n">
        <v>14</v>
      </c>
      <c r="F4" t="inlineStr">
        <is>
          <t>FOREIGN</t>
        </is>
      </c>
      <c r="G4" t="n">
        <v>0.39</v>
      </c>
      <c r="H4" t="inlineStr">
        <is>
          <t>USD</t>
        </is>
      </c>
      <c r="I4" t="n">
        <v>0</v>
      </c>
      <c r="J4" t="inlineStr">
        <is>
          <t>USD</t>
        </is>
      </c>
      <c r="K4" t="n">
        <v>0</v>
      </c>
      <c r="L4" t="inlineStr">
        <is>
          <t>USD</t>
        </is>
      </c>
      <c r="M4" t="n">
        <v>0.82</v>
      </c>
      <c r="N4" t="inlineStr">
        <is>
          <t>USD</t>
        </is>
      </c>
      <c r="O4" t="n">
        <v>0</v>
      </c>
      <c r="P4" t="inlineStr">
        <is>
          <t>USD</t>
        </is>
      </c>
      <c r="Q4" t="n">
        <v>30</v>
      </c>
    </row>
    <row r="5">
      <c r="A5" t="inlineStr">
        <is>
          <t>2017-08-13_AAPL</t>
        </is>
      </c>
      <c r="B5" t="inlineStr">
        <is>
          <t>AAPL</t>
        </is>
      </c>
      <c r="C5" s="5" t="n">
        <v>42960</v>
      </c>
      <c r="D5" t="n">
        <v>14</v>
      </c>
      <c r="F5" t="inlineStr">
        <is>
          <t>FOREIGN</t>
        </is>
      </c>
      <c r="G5" t="n">
        <v>0.63</v>
      </c>
      <c r="H5" t="inlineStr">
        <is>
          <t>USD</t>
        </is>
      </c>
      <c r="I5" t="n">
        <v>0</v>
      </c>
      <c r="J5" t="inlineStr">
        <is>
          <t>USD</t>
        </is>
      </c>
      <c r="K5" t="n">
        <v>0</v>
      </c>
      <c r="L5" t="inlineStr">
        <is>
          <t>USD</t>
        </is>
      </c>
      <c r="M5" t="n">
        <v>1.32</v>
      </c>
      <c r="N5" t="inlineStr">
        <is>
          <t>USD</t>
        </is>
      </c>
      <c r="O5" t="n">
        <v>0</v>
      </c>
      <c r="P5" t="inlineStr">
        <is>
          <t>USD</t>
        </is>
      </c>
      <c r="Q5" t="n">
        <v>30</v>
      </c>
    </row>
    <row r="6">
      <c r="A6" t="inlineStr">
        <is>
          <t>2017-09-05_MSFT</t>
        </is>
      </c>
      <c r="B6" t="inlineStr">
        <is>
          <t>MSFT</t>
        </is>
      </c>
      <c r="C6" s="5" t="n">
        <v>42983</v>
      </c>
      <c r="D6" t="n">
        <v>30</v>
      </c>
      <c r="F6" t="inlineStr">
        <is>
          <t>FOREIGN</t>
        </is>
      </c>
      <c r="G6" t="n">
        <v>0.39</v>
      </c>
      <c r="H6" t="inlineStr">
        <is>
          <t>USD</t>
        </is>
      </c>
      <c r="I6" t="n">
        <v>0</v>
      </c>
      <c r="J6" t="inlineStr">
        <is>
          <t>USD</t>
        </is>
      </c>
      <c r="K6" t="n">
        <v>0</v>
      </c>
      <c r="L6" t="inlineStr">
        <is>
          <t>USD</t>
        </is>
      </c>
      <c r="M6" t="n">
        <v>1.76</v>
      </c>
      <c r="N6" t="inlineStr">
        <is>
          <t>USD</t>
        </is>
      </c>
      <c r="O6" t="n">
        <v>0</v>
      </c>
      <c r="P6" t="inlineStr">
        <is>
          <t>USD</t>
        </is>
      </c>
      <c r="Q6" t="n">
        <v>30</v>
      </c>
    </row>
    <row r="7">
      <c r="A7" t="inlineStr">
        <is>
          <t>2017-09-20_CBA.AX</t>
        </is>
      </c>
      <c r="B7" t="inlineStr">
        <is>
          <t>CBA</t>
        </is>
      </c>
      <c r="C7" s="5" t="n">
        <v>42998</v>
      </c>
      <c r="D7" t="n">
        <v>10</v>
      </c>
      <c r="F7" t="inlineStr">
        <is>
          <t>LOCAL</t>
        </is>
      </c>
      <c r="G7" t="n">
        <v>0</v>
      </c>
      <c r="H7" t="inlineStr">
        <is>
          <t>AUD</t>
        </is>
      </c>
      <c r="I7" t="n">
        <v>2.3</v>
      </c>
      <c r="J7" t="inlineStr">
        <is>
          <t>AUD</t>
        </is>
      </c>
      <c r="K7" t="n">
        <v>0</v>
      </c>
      <c r="L7" t="inlineStr">
        <is>
          <t>AUD</t>
        </is>
      </c>
      <c r="M7" t="n">
        <v>0</v>
      </c>
      <c r="N7" t="inlineStr">
        <is>
          <t>AUD</t>
        </is>
      </c>
      <c r="O7" t="n">
        <v>0</v>
      </c>
      <c r="P7" t="inlineStr">
        <is>
          <t>AUD</t>
        </is>
      </c>
      <c r="Q7" t="n">
        <v>30</v>
      </c>
    </row>
    <row r="8">
      <c r="A8" t="inlineStr">
        <is>
          <t>2017-09-27_TLS.AX</t>
        </is>
      </c>
      <c r="B8" t="inlineStr">
        <is>
          <t>TLS</t>
        </is>
      </c>
      <c r="C8" s="5" t="n">
        <v>43005</v>
      </c>
      <c r="D8" t="n">
        <v>494</v>
      </c>
      <c r="F8" t="inlineStr">
        <is>
          <t>LOCAL</t>
        </is>
      </c>
      <c r="G8" t="n">
        <v>0</v>
      </c>
      <c r="H8" t="inlineStr">
        <is>
          <t>AUD</t>
        </is>
      </c>
      <c r="I8" t="n">
        <v>0.155</v>
      </c>
      <c r="J8" t="inlineStr">
        <is>
          <t>AUD</t>
        </is>
      </c>
      <c r="K8" t="n">
        <v>0</v>
      </c>
      <c r="L8" t="inlineStr">
        <is>
          <t>AUD</t>
        </is>
      </c>
      <c r="M8" t="n">
        <v>0</v>
      </c>
      <c r="N8" t="inlineStr">
        <is>
          <t>AUD</t>
        </is>
      </c>
      <c r="O8" t="n">
        <v>0</v>
      </c>
      <c r="P8" t="inlineStr">
        <is>
          <t>AUD</t>
        </is>
      </c>
      <c r="Q8" t="n">
        <v>30</v>
      </c>
    </row>
    <row r="9">
      <c r="A9" t="inlineStr">
        <is>
          <t>2017-11-13_AAPL</t>
        </is>
      </c>
      <c r="B9" t="inlineStr">
        <is>
          <t>AAPL</t>
        </is>
      </c>
      <c r="C9" s="5" t="n">
        <v>43052</v>
      </c>
      <c r="D9" t="n">
        <v>14</v>
      </c>
      <c r="F9" t="inlineStr">
        <is>
          <t>FOREIGN</t>
        </is>
      </c>
      <c r="G9" t="n">
        <v>0.63</v>
      </c>
      <c r="H9" t="inlineStr">
        <is>
          <t>USD</t>
        </is>
      </c>
      <c r="I9" t="n">
        <v>0</v>
      </c>
      <c r="J9" t="inlineStr">
        <is>
          <t>USD</t>
        </is>
      </c>
      <c r="K9" t="n">
        <v>0</v>
      </c>
      <c r="L9" t="inlineStr">
        <is>
          <t>USD</t>
        </is>
      </c>
      <c r="M9" t="n">
        <v>1.32</v>
      </c>
      <c r="N9" t="inlineStr">
        <is>
          <t>USD</t>
        </is>
      </c>
      <c r="O9" t="n">
        <v>0</v>
      </c>
      <c r="P9" t="inlineStr">
        <is>
          <t>USD</t>
        </is>
      </c>
      <c r="Q9" t="n">
        <v>30</v>
      </c>
    </row>
    <row r="10">
      <c r="A10" t="inlineStr">
        <is>
          <t>2017-12-06_MSFT</t>
        </is>
      </c>
      <c r="B10" t="inlineStr">
        <is>
          <t>MSFT</t>
        </is>
      </c>
      <c r="C10" s="5" t="n">
        <v>43075</v>
      </c>
      <c r="D10" t="n">
        <v>38</v>
      </c>
      <c r="F10" t="inlineStr">
        <is>
          <t>FOREIGN</t>
        </is>
      </c>
      <c r="G10" t="n">
        <v>0.42</v>
      </c>
      <c r="H10" t="inlineStr">
        <is>
          <t>USD</t>
        </is>
      </c>
      <c r="I10" t="n">
        <v>0</v>
      </c>
      <c r="J10" t="inlineStr">
        <is>
          <t>USD</t>
        </is>
      </c>
      <c r="K10" t="n">
        <v>0</v>
      </c>
      <c r="L10" t="inlineStr">
        <is>
          <t>USD</t>
        </is>
      </c>
      <c r="M10" t="n">
        <v>2.39</v>
      </c>
      <c r="N10" t="inlineStr">
        <is>
          <t>USD</t>
        </is>
      </c>
      <c r="O10" t="n">
        <v>0</v>
      </c>
      <c r="P10" t="inlineStr">
        <is>
          <t>USD</t>
        </is>
      </c>
      <c r="Q10" t="n">
        <v>30</v>
      </c>
    </row>
    <row r="11">
      <c r="A11" t="inlineStr">
        <is>
          <t>2018-02-12_AAPL</t>
        </is>
      </c>
      <c r="B11" t="inlineStr">
        <is>
          <t>AAPL</t>
        </is>
      </c>
      <c r="C11" s="5" t="n">
        <v>43143</v>
      </c>
      <c r="D11" t="n">
        <v>14</v>
      </c>
      <c r="F11" t="inlineStr">
        <is>
          <t>FOREIGN</t>
        </is>
      </c>
      <c r="G11" t="n">
        <v>0.63</v>
      </c>
      <c r="H11" t="inlineStr">
        <is>
          <t>USD</t>
        </is>
      </c>
      <c r="I11" t="n">
        <v>0</v>
      </c>
      <c r="J11" t="inlineStr">
        <is>
          <t>USD</t>
        </is>
      </c>
      <c r="K11" t="n">
        <v>0</v>
      </c>
      <c r="L11" t="inlineStr">
        <is>
          <t>USD</t>
        </is>
      </c>
      <c r="M11" t="n">
        <v>1.32</v>
      </c>
      <c r="N11" t="inlineStr">
        <is>
          <t>USD</t>
        </is>
      </c>
      <c r="O11" t="n">
        <v>0</v>
      </c>
      <c r="P11" t="inlineStr">
        <is>
          <t>USD</t>
        </is>
      </c>
      <c r="Q11" t="n">
        <v>30</v>
      </c>
    </row>
    <row r="12">
      <c r="A12" t="inlineStr">
        <is>
          <t>2018-03-07_MSFT</t>
        </is>
      </c>
      <c r="B12" t="inlineStr">
        <is>
          <t>MSFT</t>
        </is>
      </c>
      <c r="C12" s="5" t="n">
        <v>43166</v>
      </c>
      <c r="D12" t="n">
        <v>38</v>
      </c>
      <c r="F12" t="inlineStr">
        <is>
          <t>FOREIGN</t>
        </is>
      </c>
      <c r="G12" t="n">
        <v>0.42</v>
      </c>
      <c r="H12" t="inlineStr">
        <is>
          <t>USD</t>
        </is>
      </c>
      <c r="I12" t="n">
        <v>0</v>
      </c>
      <c r="J12" t="inlineStr">
        <is>
          <t>USD</t>
        </is>
      </c>
      <c r="K12" t="n">
        <v>0</v>
      </c>
      <c r="L12" t="inlineStr">
        <is>
          <t>USD</t>
        </is>
      </c>
      <c r="M12" t="n">
        <v>2.39</v>
      </c>
      <c r="N12" t="inlineStr">
        <is>
          <t>USD</t>
        </is>
      </c>
      <c r="O12" t="n">
        <v>0</v>
      </c>
      <c r="P12" t="inlineStr">
        <is>
          <t>USD</t>
        </is>
      </c>
      <c r="Q12" t="n">
        <v>30</v>
      </c>
    </row>
    <row r="13">
      <c r="A13" t="inlineStr">
        <is>
          <t>2018-03-21_CBA.AX</t>
        </is>
      </c>
      <c r="B13" t="inlineStr">
        <is>
          <t>CBA</t>
        </is>
      </c>
      <c r="C13" s="5" t="n">
        <v>43180</v>
      </c>
      <c r="D13" t="n">
        <v>10</v>
      </c>
      <c r="F13" t="inlineStr">
        <is>
          <t>LOCAL</t>
        </is>
      </c>
      <c r="G13" t="n">
        <v>0</v>
      </c>
      <c r="H13" t="inlineStr">
        <is>
          <t>AUD</t>
        </is>
      </c>
      <c r="I13" t="n">
        <v>2</v>
      </c>
      <c r="J13" t="inlineStr">
        <is>
          <t>AUD</t>
        </is>
      </c>
      <c r="K13" t="n">
        <v>0</v>
      </c>
      <c r="L13" t="inlineStr">
        <is>
          <t>AUD</t>
        </is>
      </c>
      <c r="M13" t="n">
        <v>0</v>
      </c>
      <c r="N13" t="inlineStr">
        <is>
          <t>AUD</t>
        </is>
      </c>
      <c r="O13" t="n">
        <v>0</v>
      </c>
      <c r="P13" t="inlineStr">
        <is>
          <t>AUD</t>
        </is>
      </c>
      <c r="Q13" t="n">
        <v>30</v>
      </c>
    </row>
    <row r="14">
      <c r="A14" t="inlineStr">
        <is>
          <t>2018-03-28_TLS.AX</t>
        </is>
      </c>
      <c r="B14" t="inlineStr">
        <is>
          <t>TLS</t>
        </is>
      </c>
      <c r="C14" s="5" t="n">
        <v>43187</v>
      </c>
      <c r="D14" t="n">
        <v>809</v>
      </c>
      <c r="F14" t="inlineStr">
        <is>
          <t>LOCAL</t>
        </is>
      </c>
      <c r="G14" t="n">
        <v>0</v>
      </c>
      <c r="H14" t="inlineStr">
        <is>
          <t>AUD</t>
        </is>
      </c>
      <c r="I14" t="n">
        <v>0.11</v>
      </c>
      <c r="J14" t="inlineStr">
        <is>
          <t>AUD</t>
        </is>
      </c>
      <c r="K14" t="n">
        <v>0</v>
      </c>
      <c r="L14" t="inlineStr">
        <is>
          <t>AUD</t>
        </is>
      </c>
      <c r="M14" t="n">
        <v>0</v>
      </c>
      <c r="N14" t="inlineStr">
        <is>
          <t>AUD</t>
        </is>
      </c>
      <c r="O14" t="n">
        <v>0</v>
      </c>
      <c r="P14" t="inlineStr">
        <is>
          <t>AUD</t>
        </is>
      </c>
      <c r="Q14" t="n">
        <v>30</v>
      </c>
    </row>
    <row r="15">
      <c r="A15" t="inlineStr">
        <is>
          <t>2018-05-14_AAPL</t>
        </is>
      </c>
      <c r="B15" t="inlineStr">
        <is>
          <t>AAPL</t>
        </is>
      </c>
      <c r="C15" s="5" t="n">
        <v>43234</v>
      </c>
      <c r="D15" t="n">
        <v>14</v>
      </c>
      <c r="F15" t="inlineStr">
        <is>
          <t>FOREIGN</t>
        </is>
      </c>
      <c r="G15" t="n">
        <v>0.73</v>
      </c>
      <c r="H15" t="inlineStr">
        <is>
          <t>USD</t>
        </is>
      </c>
      <c r="I15" t="n">
        <v>0</v>
      </c>
      <c r="J15" t="inlineStr">
        <is>
          <t>USD</t>
        </is>
      </c>
      <c r="K15" t="n">
        <v>0</v>
      </c>
      <c r="L15" t="inlineStr">
        <is>
          <t>USD</t>
        </is>
      </c>
      <c r="M15" t="n">
        <v>1.53</v>
      </c>
      <c r="N15" t="inlineStr">
        <is>
          <t>USD</t>
        </is>
      </c>
      <c r="O15" t="n">
        <v>0</v>
      </c>
      <c r="P15" t="inlineStr">
        <is>
          <t>USD</t>
        </is>
      </c>
      <c r="Q15" t="n">
        <v>30</v>
      </c>
    </row>
    <row r="16">
      <c r="A16" t="inlineStr">
        <is>
          <t>2018-06-06_MSFT</t>
        </is>
      </c>
      <c r="B16" t="inlineStr">
        <is>
          <t>MSFT</t>
        </is>
      </c>
      <c r="C16" s="5" t="n">
        <v>43257</v>
      </c>
      <c r="D16" t="n">
        <v>38</v>
      </c>
      <c r="F16" t="inlineStr">
        <is>
          <t>FOREIGN</t>
        </is>
      </c>
      <c r="G16" t="n">
        <v>0.42</v>
      </c>
      <c r="H16" t="inlineStr">
        <is>
          <t>USD</t>
        </is>
      </c>
      <c r="I16" t="n">
        <v>0</v>
      </c>
      <c r="J16" t="inlineStr">
        <is>
          <t>USD</t>
        </is>
      </c>
      <c r="K16" t="n">
        <v>0</v>
      </c>
      <c r="L16" t="inlineStr">
        <is>
          <t>USD</t>
        </is>
      </c>
      <c r="M16" t="n">
        <v>2.39</v>
      </c>
      <c r="N16" t="inlineStr">
        <is>
          <t>USD</t>
        </is>
      </c>
      <c r="O16" t="n">
        <v>0</v>
      </c>
      <c r="P16" t="inlineStr">
        <is>
          <t>USD</t>
        </is>
      </c>
      <c r="Q16" t="n">
        <v>30</v>
      </c>
    </row>
    <row r="17">
      <c r="A17" t="inlineStr">
        <is>
          <t>2018-08-13_AAPL</t>
        </is>
      </c>
      <c r="B17" t="inlineStr">
        <is>
          <t>AAPL</t>
        </is>
      </c>
      <c r="C17" s="5" t="n">
        <v>43325</v>
      </c>
      <c r="D17" t="n">
        <v>14</v>
      </c>
      <c r="F17" t="inlineStr">
        <is>
          <t>FOREIGN</t>
        </is>
      </c>
      <c r="G17" t="n">
        <v>0.73</v>
      </c>
      <c r="H17" t="inlineStr">
        <is>
          <t>USD</t>
        </is>
      </c>
      <c r="I17" t="n">
        <v>0</v>
      </c>
      <c r="J17" t="inlineStr">
        <is>
          <t>USD</t>
        </is>
      </c>
      <c r="K17" t="n">
        <v>0</v>
      </c>
      <c r="L17" t="inlineStr">
        <is>
          <t>USD</t>
        </is>
      </c>
      <c r="M17" t="n">
        <v>1.53</v>
      </c>
      <c r="N17" t="inlineStr">
        <is>
          <t>USD</t>
        </is>
      </c>
      <c r="O17" t="n">
        <v>0</v>
      </c>
      <c r="P17" t="inlineStr">
        <is>
          <t>USD</t>
        </is>
      </c>
      <c r="Q17" t="n">
        <v>30</v>
      </c>
    </row>
    <row r="18">
      <c r="A18" t="inlineStr">
        <is>
          <t>2018-09-05_MSFT</t>
        </is>
      </c>
      <c r="B18" t="inlineStr">
        <is>
          <t>MSFT</t>
        </is>
      </c>
      <c r="C18" s="5" t="n">
        <v>43348</v>
      </c>
      <c r="D18" t="n">
        <v>38</v>
      </c>
      <c r="F18" t="inlineStr">
        <is>
          <t>FOREIGN</t>
        </is>
      </c>
      <c r="G18" t="n">
        <v>0.42</v>
      </c>
      <c r="H18" t="inlineStr">
        <is>
          <t>USD</t>
        </is>
      </c>
      <c r="I18" t="n">
        <v>0</v>
      </c>
      <c r="J18" t="inlineStr">
        <is>
          <t>USD</t>
        </is>
      </c>
      <c r="K18" t="n">
        <v>0</v>
      </c>
      <c r="L18" t="inlineStr">
        <is>
          <t>USD</t>
        </is>
      </c>
      <c r="M18" t="n">
        <v>2.39</v>
      </c>
      <c r="N18" t="inlineStr">
        <is>
          <t>USD</t>
        </is>
      </c>
      <c r="O18" t="n">
        <v>0</v>
      </c>
      <c r="P18" t="inlineStr">
        <is>
          <t>USD</t>
        </is>
      </c>
      <c r="Q18" t="n">
        <v>30</v>
      </c>
    </row>
    <row r="19">
      <c r="A19" t="inlineStr">
        <is>
          <t>2018-09-19_CBA.AX</t>
        </is>
      </c>
      <c r="B19" t="inlineStr">
        <is>
          <t>CBA</t>
        </is>
      </c>
      <c r="C19" s="5" t="n">
        <v>43362</v>
      </c>
      <c r="D19" t="n">
        <v>10</v>
      </c>
      <c r="F19" t="inlineStr">
        <is>
          <t>LOCAL</t>
        </is>
      </c>
      <c r="G19" t="n">
        <v>0</v>
      </c>
      <c r="H19" t="inlineStr">
        <is>
          <t>AUD</t>
        </is>
      </c>
      <c r="I19" t="n">
        <v>2.31</v>
      </c>
      <c r="J19" t="inlineStr">
        <is>
          <t>AUD</t>
        </is>
      </c>
      <c r="K19" t="n">
        <v>0</v>
      </c>
      <c r="L19" t="inlineStr">
        <is>
          <t>AUD</t>
        </is>
      </c>
      <c r="M19" t="n">
        <v>0</v>
      </c>
      <c r="N19" t="inlineStr">
        <is>
          <t>AUD</t>
        </is>
      </c>
      <c r="O19" t="n">
        <v>0</v>
      </c>
      <c r="P19" t="inlineStr">
        <is>
          <t>AUD</t>
        </is>
      </c>
      <c r="Q19" t="n">
        <v>30</v>
      </c>
    </row>
    <row r="20">
      <c r="A20" t="inlineStr">
        <is>
          <t>2018-09-26_TLS.AX</t>
        </is>
      </c>
      <c r="B20" t="inlineStr">
        <is>
          <t>TLS</t>
        </is>
      </c>
      <c r="C20" s="5" t="n">
        <v>43369</v>
      </c>
      <c r="D20" t="n">
        <v>809</v>
      </c>
      <c r="F20" t="inlineStr">
        <is>
          <t>LOCAL</t>
        </is>
      </c>
      <c r="G20" t="n">
        <v>0</v>
      </c>
      <c r="H20" t="inlineStr">
        <is>
          <t>AUD</t>
        </is>
      </c>
      <c r="I20" t="n">
        <v>0.11</v>
      </c>
      <c r="J20" t="inlineStr">
        <is>
          <t>AUD</t>
        </is>
      </c>
      <c r="K20" t="n">
        <v>0</v>
      </c>
      <c r="L20" t="inlineStr">
        <is>
          <t>AUD</t>
        </is>
      </c>
      <c r="M20" t="n">
        <v>0</v>
      </c>
      <c r="N20" t="inlineStr">
        <is>
          <t>AUD</t>
        </is>
      </c>
      <c r="O20" t="n">
        <v>0</v>
      </c>
      <c r="P20" t="inlineStr">
        <is>
          <t>AUD</t>
        </is>
      </c>
      <c r="Q20" t="n">
        <v>30</v>
      </c>
    </row>
    <row r="21">
      <c r="A21" t="inlineStr">
        <is>
          <t>2018-11-11_AAPL</t>
        </is>
      </c>
      <c r="B21" t="inlineStr">
        <is>
          <t>AAPL</t>
        </is>
      </c>
      <c r="C21" s="5" t="n">
        <v>43415</v>
      </c>
      <c r="D21" t="n">
        <v>16</v>
      </c>
      <c r="F21" t="inlineStr">
        <is>
          <t>FOREIGN</t>
        </is>
      </c>
      <c r="G21" t="n">
        <v>0.73</v>
      </c>
      <c r="H21" t="inlineStr">
        <is>
          <t>USD</t>
        </is>
      </c>
      <c r="I21" t="n">
        <v>0</v>
      </c>
      <c r="J21" t="inlineStr">
        <is>
          <t>USD</t>
        </is>
      </c>
      <c r="K21" t="n">
        <v>0</v>
      </c>
      <c r="L21" t="inlineStr">
        <is>
          <t>USD</t>
        </is>
      </c>
      <c r="M21" t="n">
        <v>1.75</v>
      </c>
      <c r="N21" t="inlineStr">
        <is>
          <t>USD</t>
        </is>
      </c>
      <c r="O21" t="n">
        <v>0</v>
      </c>
      <c r="P21" t="inlineStr">
        <is>
          <t>USD</t>
        </is>
      </c>
      <c r="Q21" t="n">
        <v>30</v>
      </c>
    </row>
    <row r="22">
      <c r="A22" t="inlineStr">
        <is>
          <t>2018-12-05_MSFT</t>
        </is>
      </c>
      <c r="B22" t="inlineStr">
        <is>
          <t>MSFT</t>
        </is>
      </c>
      <c r="C22" s="5" t="n">
        <v>43439</v>
      </c>
      <c r="D22" t="n">
        <v>56</v>
      </c>
      <c r="F22" t="inlineStr">
        <is>
          <t>FOREIGN</t>
        </is>
      </c>
      <c r="G22" t="n">
        <v>0.46</v>
      </c>
      <c r="H22" t="inlineStr">
        <is>
          <t>USD</t>
        </is>
      </c>
      <c r="I22" t="n">
        <v>0</v>
      </c>
      <c r="J22" t="inlineStr">
        <is>
          <t>USD</t>
        </is>
      </c>
      <c r="K22" t="n">
        <v>0</v>
      </c>
      <c r="L22" t="inlineStr">
        <is>
          <t>USD</t>
        </is>
      </c>
      <c r="M22" t="n">
        <v>3.86</v>
      </c>
      <c r="N22" t="inlineStr">
        <is>
          <t>USD</t>
        </is>
      </c>
      <c r="O22" t="n">
        <v>0</v>
      </c>
      <c r="P22" t="inlineStr">
        <is>
          <t>USD</t>
        </is>
      </c>
      <c r="Q22" t="n">
        <v>30</v>
      </c>
    </row>
    <row r="23">
      <c r="A23" t="inlineStr">
        <is>
          <t>2019-01-31_BHP.AX</t>
        </is>
      </c>
      <c r="B23" t="inlineStr">
        <is>
          <t>BHP</t>
        </is>
      </c>
      <c r="C23" s="5" t="n">
        <v>43496</v>
      </c>
      <c r="D23" t="n">
        <v>43</v>
      </c>
      <c r="F23" t="inlineStr">
        <is>
          <t>LOCAL</t>
        </is>
      </c>
      <c r="G23" t="n">
        <v>0</v>
      </c>
      <c r="H23" t="inlineStr">
        <is>
          <t>AUD</t>
        </is>
      </c>
      <c r="I23" t="n">
        <v>1.412742</v>
      </c>
      <c r="J23" t="inlineStr">
        <is>
          <t>AUD</t>
        </is>
      </c>
      <c r="K23" t="n">
        <v>0</v>
      </c>
      <c r="L23" t="inlineStr">
        <is>
          <t>AUD</t>
        </is>
      </c>
      <c r="M23" t="n">
        <v>0</v>
      </c>
      <c r="N23" t="inlineStr">
        <is>
          <t>AUD</t>
        </is>
      </c>
      <c r="O23" t="n">
        <v>0</v>
      </c>
      <c r="P23" t="inlineStr">
        <is>
          <t>AUD</t>
        </is>
      </c>
      <c r="Q23" t="n">
        <v>30</v>
      </c>
    </row>
    <row r="24">
      <c r="A24" t="inlineStr">
        <is>
          <t>2019-02-11_AAPL</t>
        </is>
      </c>
      <c r="B24" t="inlineStr">
        <is>
          <t>AAPL</t>
        </is>
      </c>
      <c r="C24" s="5" t="n">
        <v>43507</v>
      </c>
      <c r="D24" t="n">
        <v>19</v>
      </c>
      <c r="F24" t="inlineStr">
        <is>
          <t>FOREIGN</t>
        </is>
      </c>
      <c r="G24" t="n">
        <v>0.73</v>
      </c>
      <c r="H24" t="inlineStr">
        <is>
          <t>USD</t>
        </is>
      </c>
      <c r="I24" t="n">
        <v>0</v>
      </c>
      <c r="J24" t="inlineStr">
        <is>
          <t>USD</t>
        </is>
      </c>
      <c r="K24" t="n">
        <v>0</v>
      </c>
      <c r="L24" t="inlineStr">
        <is>
          <t>USD</t>
        </is>
      </c>
      <c r="M24" t="n">
        <v>2.08</v>
      </c>
      <c r="N24" t="inlineStr">
        <is>
          <t>USD</t>
        </is>
      </c>
      <c r="O24" t="n">
        <v>0</v>
      </c>
      <c r="P24" t="inlineStr">
        <is>
          <t>USD</t>
        </is>
      </c>
      <c r="Q24" t="n">
        <v>30</v>
      </c>
    </row>
    <row r="25">
      <c r="A25" t="inlineStr">
        <is>
          <t>2019-03-13_MSFT</t>
        </is>
      </c>
      <c r="B25" t="inlineStr">
        <is>
          <t>MSFT</t>
        </is>
      </c>
      <c r="C25" s="5" t="n">
        <v>43537</v>
      </c>
      <c r="D25" t="n">
        <v>60</v>
      </c>
      <c r="F25" t="inlineStr">
        <is>
          <t>FOREIGN</t>
        </is>
      </c>
      <c r="G25" t="n">
        <v>0.46</v>
      </c>
      <c r="H25" t="inlineStr">
        <is>
          <t>USD</t>
        </is>
      </c>
      <c r="I25" t="n">
        <v>0</v>
      </c>
      <c r="J25" t="inlineStr">
        <is>
          <t>USD</t>
        </is>
      </c>
      <c r="K25" t="n">
        <v>0</v>
      </c>
      <c r="L25" t="inlineStr">
        <is>
          <t>USD</t>
        </is>
      </c>
      <c r="M25" t="n">
        <v>4.14</v>
      </c>
      <c r="N25" t="inlineStr">
        <is>
          <t>USD</t>
        </is>
      </c>
      <c r="O25" t="n">
        <v>0</v>
      </c>
      <c r="P25" t="inlineStr">
        <is>
          <t>USD</t>
        </is>
      </c>
      <c r="Q25" t="n">
        <v>30</v>
      </c>
    </row>
    <row r="26">
      <c r="A26" t="inlineStr">
        <is>
          <t>2019-03-20_CBA.AX</t>
        </is>
      </c>
      <c r="B26" t="inlineStr">
        <is>
          <t>CBA</t>
        </is>
      </c>
      <c r="C26" s="5" t="n">
        <v>43544</v>
      </c>
      <c r="D26" t="n">
        <v>10</v>
      </c>
      <c r="F26" t="inlineStr">
        <is>
          <t>LOCAL</t>
        </is>
      </c>
      <c r="G26" t="n">
        <v>0</v>
      </c>
      <c r="H26" t="inlineStr">
        <is>
          <t>AUD</t>
        </is>
      </c>
      <c r="I26" t="n">
        <v>2</v>
      </c>
      <c r="J26" t="inlineStr">
        <is>
          <t>AUD</t>
        </is>
      </c>
      <c r="K26" t="n">
        <v>0</v>
      </c>
      <c r="L26" t="inlineStr">
        <is>
          <t>AUD</t>
        </is>
      </c>
      <c r="M26" t="n">
        <v>0</v>
      </c>
      <c r="N26" t="inlineStr">
        <is>
          <t>AUD</t>
        </is>
      </c>
      <c r="O26" t="n">
        <v>0</v>
      </c>
      <c r="P26" t="inlineStr">
        <is>
          <t>AUD</t>
        </is>
      </c>
      <c r="Q26" t="n">
        <v>30</v>
      </c>
    </row>
    <row r="27">
      <c r="A27" t="inlineStr">
        <is>
          <t>2019-03-22_WES.AX</t>
        </is>
      </c>
      <c r="B27" t="inlineStr">
        <is>
          <t>WES</t>
        </is>
      </c>
      <c r="C27" s="5" t="n">
        <v>43546</v>
      </c>
      <c r="D27" t="n">
        <v>14</v>
      </c>
      <c r="F27" t="inlineStr">
        <is>
          <t>LOCAL</t>
        </is>
      </c>
      <c r="G27" t="n">
        <v>0</v>
      </c>
      <c r="H27" t="inlineStr">
        <is>
          <t>AUD</t>
        </is>
      </c>
      <c r="I27" t="n">
        <v>2</v>
      </c>
      <c r="J27" t="inlineStr">
        <is>
          <t>AUD</t>
        </is>
      </c>
      <c r="K27" t="n">
        <v>0</v>
      </c>
      <c r="L27" t="inlineStr">
        <is>
          <t>AUD</t>
        </is>
      </c>
      <c r="M27" t="n">
        <v>0</v>
      </c>
      <c r="N27" t="inlineStr">
        <is>
          <t>AUD</t>
        </is>
      </c>
      <c r="O27" t="n">
        <v>0</v>
      </c>
      <c r="P27" t="inlineStr">
        <is>
          <t>AUD</t>
        </is>
      </c>
      <c r="Q27" t="n">
        <v>30</v>
      </c>
    </row>
    <row r="28">
      <c r="A28" t="inlineStr">
        <is>
          <t>2019-03-27_TLS.AX</t>
        </is>
      </c>
      <c r="B28" t="inlineStr">
        <is>
          <t>TLS</t>
        </is>
      </c>
      <c r="C28" s="5" t="n">
        <v>43551</v>
      </c>
      <c r="D28" t="n">
        <v>809</v>
      </c>
      <c r="F28" t="inlineStr">
        <is>
          <t>LOCAL</t>
        </is>
      </c>
      <c r="G28" t="n">
        <v>0</v>
      </c>
      <c r="H28" t="inlineStr">
        <is>
          <t>AUD</t>
        </is>
      </c>
      <c r="I28" t="n">
        <v>0.08</v>
      </c>
      <c r="J28" t="inlineStr">
        <is>
          <t>AUD</t>
        </is>
      </c>
      <c r="K28" t="n">
        <v>0</v>
      </c>
      <c r="L28" t="inlineStr">
        <is>
          <t>AUD</t>
        </is>
      </c>
      <c r="M28" t="n">
        <v>0</v>
      </c>
      <c r="N28" t="inlineStr">
        <is>
          <t>AUD</t>
        </is>
      </c>
      <c r="O28" t="n">
        <v>0</v>
      </c>
      <c r="P28" t="inlineStr">
        <is>
          <t>AUD</t>
        </is>
      </c>
      <c r="Q28" t="n">
        <v>30</v>
      </c>
    </row>
    <row r="29">
      <c r="A29" t="inlineStr">
        <is>
          <t>2019-03-28_BHP.AX</t>
        </is>
      </c>
      <c r="B29" t="inlineStr">
        <is>
          <t>BHP</t>
        </is>
      </c>
      <c r="C29" s="5" t="n">
        <v>43552</v>
      </c>
      <c r="D29" t="n">
        <v>43</v>
      </c>
      <c r="F29" t="inlineStr">
        <is>
          <t>LOCAL</t>
        </is>
      </c>
      <c r="G29" t="n">
        <v>0</v>
      </c>
      <c r="H29" t="inlineStr">
        <is>
          <t>AUD</t>
        </is>
      </c>
      <c r="I29" t="n">
        <v>0.780806</v>
      </c>
      <c r="J29" t="inlineStr">
        <is>
          <t>AUD</t>
        </is>
      </c>
      <c r="K29" t="n">
        <v>0</v>
      </c>
      <c r="L29" t="inlineStr">
        <is>
          <t>AUD</t>
        </is>
      </c>
      <c r="M29" t="n">
        <v>0</v>
      </c>
      <c r="N29" t="inlineStr">
        <is>
          <t>AUD</t>
        </is>
      </c>
      <c r="O29" t="n">
        <v>0</v>
      </c>
      <c r="P29" t="inlineStr">
        <is>
          <t>AUD</t>
        </is>
      </c>
      <c r="Q29" t="n">
        <v>30</v>
      </c>
    </row>
    <row r="30">
      <c r="A30" t="inlineStr">
        <is>
          <t>2019-05-13_AAPL</t>
        </is>
      </c>
      <c r="B30" t="inlineStr">
        <is>
          <t>AAPL</t>
        </is>
      </c>
      <c r="C30" s="5" t="n">
        <v>43598</v>
      </c>
      <c r="D30" t="n">
        <v>21</v>
      </c>
      <c r="F30" t="inlineStr">
        <is>
          <t>FOREIGN</t>
        </is>
      </c>
      <c r="G30" t="n">
        <v>0.77</v>
      </c>
      <c r="H30" t="inlineStr">
        <is>
          <t>USD</t>
        </is>
      </c>
      <c r="I30" t="n">
        <v>0</v>
      </c>
      <c r="J30" t="inlineStr">
        <is>
          <t>USD</t>
        </is>
      </c>
      <c r="K30" t="n">
        <v>0</v>
      </c>
      <c r="L30" t="inlineStr">
        <is>
          <t>USD</t>
        </is>
      </c>
      <c r="M30" t="n">
        <v>2.43</v>
      </c>
      <c r="N30" t="inlineStr">
        <is>
          <t>USD</t>
        </is>
      </c>
      <c r="O30" t="n">
        <v>0</v>
      </c>
      <c r="P30" t="inlineStr">
        <is>
          <t>USD</t>
        </is>
      </c>
      <c r="Q30" t="n">
        <v>30</v>
      </c>
    </row>
    <row r="31">
      <c r="A31" t="inlineStr">
        <is>
          <t>2019-06-05_MSFT</t>
        </is>
      </c>
      <c r="B31" t="inlineStr">
        <is>
          <t>MSFT</t>
        </is>
      </c>
      <c r="C31" s="5" t="n">
        <v>43621</v>
      </c>
      <c r="D31" t="n">
        <v>60</v>
      </c>
      <c r="F31" t="inlineStr">
        <is>
          <t>FOREIGN</t>
        </is>
      </c>
      <c r="G31" t="n">
        <v>0.46</v>
      </c>
      <c r="H31" t="inlineStr">
        <is>
          <t>USD</t>
        </is>
      </c>
      <c r="I31" t="n">
        <v>0</v>
      </c>
      <c r="J31" t="inlineStr">
        <is>
          <t>USD</t>
        </is>
      </c>
      <c r="K31" t="n">
        <v>0</v>
      </c>
      <c r="L31" t="inlineStr">
        <is>
          <t>USD</t>
        </is>
      </c>
      <c r="M31" t="n">
        <v>4.14</v>
      </c>
      <c r="N31" t="inlineStr">
        <is>
          <t>USD</t>
        </is>
      </c>
      <c r="O31" t="n">
        <v>0</v>
      </c>
      <c r="P31" t="inlineStr">
        <is>
          <t>USD</t>
        </is>
      </c>
      <c r="Q31" t="n">
        <v>30</v>
      </c>
    </row>
    <row r="32">
      <c r="A32" t="inlineStr">
        <is>
          <t>2019-08-12_AAPL</t>
        </is>
      </c>
      <c r="B32" t="inlineStr">
        <is>
          <t>AAPL</t>
        </is>
      </c>
      <c r="C32" s="5" t="n">
        <v>43689</v>
      </c>
      <c r="D32" t="n">
        <v>21</v>
      </c>
      <c r="F32" t="inlineStr">
        <is>
          <t>FOREIGN</t>
        </is>
      </c>
      <c r="G32" t="n">
        <v>0.77</v>
      </c>
      <c r="H32" t="inlineStr">
        <is>
          <t>USD</t>
        </is>
      </c>
      <c r="I32" t="n">
        <v>0</v>
      </c>
      <c r="J32" t="inlineStr">
        <is>
          <t>USD</t>
        </is>
      </c>
      <c r="K32" t="n">
        <v>0</v>
      </c>
      <c r="L32" t="inlineStr">
        <is>
          <t>USD</t>
        </is>
      </c>
      <c r="M32" t="n">
        <v>2.43</v>
      </c>
      <c r="N32" t="inlineStr">
        <is>
          <t>USD</t>
        </is>
      </c>
      <c r="O32" t="n">
        <v>0</v>
      </c>
      <c r="P32" t="inlineStr">
        <is>
          <t>USD</t>
        </is>
      </c>
      <c r="Q32" t="n">
        <v>30</v>
      </c>
    </row>
    <row r="33">
      <c r="A33" t="inlineStr">
        <is>
          <t>2019-09-04_MSFT</t>
        </is>
      </c>
      <c r="B33" t="inlineStr">
        <is>
          <t>MSFT</t>
        </is>
      </c>
      <c r="C33" s="5" t="n">
        <v>43712</v>
      </c>
      <c r="D33" t="n">
        <v>66</v>
      </c>
      <c r="F33" t="inlineStr">
        <is>
          <t>FOREIGN</t>
        </is>
      </c>
      <c r="G33" t="n">
        <v>0.46</v>
      </c>
      <c r="H33" t="inlineStr">
        <is>
          <t>USD</t>
        </is>
      </c>
      <c r="I33" t="n">
        <v>0</v>
      </c>
      <c r="J33" t="inlineStr">
        <is>
          <t>USD</t>
        </is>
      </c>
      <c r="K33" t="n">
        <v>0</v>
      </c>
      <c r="L33" t="inlineStr">
        <is>
          <t>USD</t>
        </is>
      </c>
      <c r="M33" t="n">
        <v>4.55</v>
      </c>
      <c r="N33" t="inlineStr">
        <is>
          <t>USD</t>
        </is>
      </c>
      <c r="O33" t="n">
        <v>0</v>
      </c>
      <c r="P33" t="inlineStr">
        <is>
          <t>USD</t>
        </is>
      </c>
      <c r="Q33" t="n">
        <v>30</v>
      </c>
    </row>
    <row r="34">
      <c r="A34" t="inlineStr">
        <is>
          <t>2019-09-18_CBA.AX</t>
        </is>
      </c>
      <c r="B34" t="inlineStr">
        <is>
          <t>CBA</t>
        </is>
      </c>
      <c r="C34" s="5" t="n">
        <v>43726</v>
      </c>
      <c r="D34" t="n">
        <v>24</v>
      </c>
      <c r="F34" t="inlineStr">
        <is>
          <t>LOCAL</t>
        </is>
      </c>
      <c r="G34" t="n">
        <v>0</v>
      </c>
      <c r="H34" t="inlineStr">
        <is>
          <t>AUD</t>
        </is>
      </c>
      <c r="I34" t="n">
        <v>2.31</v>
      </c>
      <c r="J34" t="inlineStr">
        <is>
          <t>AUD</t>
        </is>
      </c>
      <c r="K34" t="n">
        <v>0</v>
      </c>
      <c r="L34" t="inlineStr">
        <is>
          <t>AUD</t>
        </is>
      </c>
      <c r="M34" t="n">
        <v>0</v>
      </c>
      <c r="N34" t="inlineStr">
        <is>
          <t>AUD</t>
        </is>
      </c>
      <c r="O34" t="n">
        <v>0</v>
      </c>
      <c r="P34" t="inlineStr">
        <is>
          <t>AUD</t>
        </is>
      </c>
      <c r="Q34" t="n">
        <v>30</v>
      </c>
    </row>
    <row r="35">
      <c r="A35" t="inlineStr">
        <is>
          <t>2019-09-23_WES.AX</t>
        </is>
      </c>
      <c r="B35" t="inlineStr">
        <is>
          <t>WES</t>
        </is>
      </c>
      <c r="C35" s="5" t="n">
        <v>43731</v>
      </c>
      <c r="D35" t="n">
        <v>37</v>
      </c>
      <c r="F35" t="inlineStr">
        <is>
          <t>LOCAL</t>
        </is>
      </c>
      <c r="G35" t="n">
        <v>0</v>
      </c>
      <c r="H35" t="inlineStr">
        <is>
          <t>AUD</t>
        </is>
      </c>
      <c r="I35" t="n">
        <v>0.78</v>
      </c>
      <c r="J35" t="inlineStr">
        <is>
          <t>AUD</t>
        </is>
      </c>
      <c r="K35" t="n">
        <v>0</v>
      </c>
      <c r="L35" t="inlineStr">
        <is>
          <t>AUD</t>
        </is>
      </c>
      <c r="M35" t="n">
        <v>0</v>
      </c>
      <c r="N35" t="inlineStr">
        <is>
          <t>AUD</t>
        </is>
      </c>
      <c r="O35" t="n">
        <v>0</v>
      </c>
      <c r="P35" t="inlineStr">
        <is>
          <t>AUD</t>
        </is>
      </c>
      <c r="Q35" t="n">
        <v>30</v>
      </c>
    </row>
    <row r="36">
      <c r="A36" t="inlineStr">
        <is>
          <t>2019-09-25_TLS.AX</t>
        </is>
      </c>
      <c r="B36" t="inlineStr">
        <is>
          <t>TLS</t>
        </is>
      </c>
      <c r="C36" s="5" t="n">
        <v>43733</v>
      </c>
      <c r="D36" t="n">
        <v>809</v>
      </c>
      <c r="F36" t="inlineStr">
        <is>
          <t>LOCAL</t>
        </is>
      </c>
      <c r="G36" t="n">
        <v>0</v>
      </c>
      <c r="H36" t="inlineStr">
        <is>
          <t>AUD</t>
        </is>
      </c>
      <c r="I36" t="n">
        <v>0.08</v>
      </c>
      <c r="J36" t="inlineStr">
        <is>
          <t>AUD</t>
        </is>
      </c>
      <c r="K36" t="n">
        <v>0</v>
      </c>
      <c r="L36" t="inlineStr">
        <is>
          <t>AUD</t>
        </is>
      </c>
      <c r="M36" t="n">
        <v>0</v>
      </c>
      <c r="N36" t="inlineStr">
        <is>
          <t>AUD</t>
        </is>
      </c>
      <c r="O36" t="n">
        <v>0</v>
      </c>
      <c r="P36" t="inlineStr">
        <is>
          <t>AUD</t>
        </is>
      </c>
      <c r="Q36" t="n">
        <v>30</v>
      </c>
    </row>
    <row r="37">
      <c r="A37" t="inlineStr">
        <is>
          <t>2019-09-26_BHP.AX</t>
        </is>
      </c>
      <c r="B37" t="inlineStr">
        <is>
          <t>BHP</t>
        </is>
      </c>
      <c r="C37" s="5" t="n">
        <v>43734</v>
      </c>
      <c r="D37" t="n">
        <v>43</v>
      </c>
      <c r="F37" t="inlineStr">
        <is>
          <t>LOCAL</t>
        </is>
      </c>
      <c r="G37" t="n">
        <v>0</v>
      </c>
      <c r="H37" t="inlineStr">
        <is>
          <t>AUD</t>
        </is>
      </c>
      <c r="I37" t="n">
        <v>1.137026</v>
      </c>
      <c r="J37" t="inlineStr">
        <is>
          <t>AUD</t>
        </is>
      </c>
      <c r="K37" t="n">
        <v>0</v>
      </c>
      <c r="L37" t="inlineStr">
        <is>
          <t>AUD</t>
        </is>
      </c>
      <c r="M37" t="n">
        <v>0</v>
      </c>
      <c r="N37" t="inlineStr">
        <is>
          <t>AUD</t>
        </is>
      </c>
      <c r="O37" t="n">
        <v>0</v>
      </c>
      <c r="P37" t="inlineStr">
        <is>
          <t>AUD</t>
        </is>
      </c>
      <c r="Q37" t="n">
        <v>30</v>
      </c>
    </row>
    <row r="38">
      <c r="A38" t="inlineStr">
        <is>
          <t>2019-11-10_AAPL</t>
        </is>
      </c>
      <c r="B38" t="inlineStr">
        <is>
          <t>AAPL</t>
        </is>
      </c>
      <c r="C38" s="5" t="n">
        <v>43779</v>
      </c>
      <c r="D38" t="n">
        <v>24</v>
      </c>
      <c r="F38" t="inlineStr">
        <is>
          <t>FOREIGN</t>
        </is>
      </c>
      <c r="G38" t="n">
        <v>0.77</v>
      </c>
      <c r="H38" t="inlineStr">
        <is>
          <t>USD</t>
        </is>
      </c>
      <c r="I38" t="n">
        <v>0</v>
      </c>
      <c r="J38" t="inlineStr">
        <is>
          <t>USD</t>
        </is>
      </c>
      <c r="K38" t="n">
        <v>0</v>
      </c>
      <c r="L38" t="inlineStr">
        <is>
          <t>USD</t>
        </is>
      </c>
      <c r="M38" t="n">
        <v>2.77</v>
      </c>
      <c r="N38" t="inlineStr">
        <is>
          <t>USD</t>
        </is>
      </c>
      <c r="O38" t="n">
        <v>0</v>
      </c>
      <c r="P38" t="inlineStr">
        <is>
          <t>USD</t>
        </is>
      </c>
      <c r="Q38" t="n">
        <v>30</v>
      </c>
    </row>
    <row r="39">
      <c r="A39" t="inlineStr">
        <is>
          <t>2019-12-11_MSFT</t>
        </is>
      </c>
      <c r="B39" t="inlineStr">
        <is>
          <t>MSFT</t>
        </is>
      </c>
      <c r="C39" s="5" t="n">
        <v>43810</v>
      </c>
      <c r="D39" t="n">
        <v>72</v>
      </c>
      <c r="F39" t="inlineStr">
        <is>
          <t>FOREIGN</t>
        </is>
      </c>
      <c r="G39" t="n">
        <v>0.51</v>
      </c>
      <c r="H39" t="inlineStr">
        <is>
          <t>USD</t>
        </is>
      </c>
      <c r="I39" t="n">
        <v>0</v>
      </c>
      <c r="J39" t="inlineStr">
        <is>
          <t>USD</t>
        </is>
      </c>
      <c r="K39" t="n">
        <v>0</v>
      </c>
      <c r="L39" t="inlineStr">
        <is>
          <t>USD</t>
        </is>
      </c>
      <c r="M39" t="n">
        <v>5.51</v>
      </c>
      <c r="N39" t="inlineStr">
        <is>
          <t>USD</t>
        </is>
      </c>
      <c r="O39" t="n">
        <v>0</v>
      </c>
      <c r="P39" t="inlineStr">
        <is>
          <t>USD</t>
        </is>
      </c>
      <c r="Q39" t="n">
        <v>30</v>
      </c>
    </row>
    <row r="40">
      <c r="A40" t="inlineStr">
        <is>
          <t>2020-02-10_AAPL</t>
        </is>
      </c>
      <c r="B40" t="inlineStr">
        <is>
          <t>AAPL</t>
        </is>
      </c>
      <c r="C40" s="5" t="n">
        <v>43871</v>
      </c>
      <c r="D40" t="n">
        <v>26</v>
      </c>
      <c r="F40" t="inlineStr">
        <is>
          <t>FOREIGN</t>
        </is>
      </c>
      <c r="G40" t="n">
        <v>0.77</v>
      </c>
      <c r="H40" t="inlineStr">
        <is>
          <t>USD</t>
        </is>
      </c>
      <c r="I40" t="n">
        <v>0</v>
      </c>
      <c r="J40" t="inlineStr">
        <is>
          <t>USD</t>
        </is>
      </c>
      <c r="K40" t="n">
        <v>0</v>
      </c>
      <c r="L40" t="inlineStr">
        <is>
          <t>USD</t>
        </is>
      </c>
      <c r="M40" t="n">
        <v>3</v>
      </c>
      <c r="N40" t="inlineStr">
        <is>
          <t>USD</t>
        </is>
      </c>
      <c r="O40" t="n">
        <v>0</v>
      </c>
      <c r="P40" t="inlineStr">
        <is>
          <t>USD</t>
        </is>
      </c>
      <c r="Q40" t="n">
        <v>30</v>
      </c>
    </row>
    <row r="41">
      <c r="A41" t="inlineStr">
        <is>
          <t>2020-03-11_MSFT</t>
        </is>
      </c>
      <c r="B41" t="inlineStr">
        <is>
          <t>MSFT</t>
        </is>
      </c>
      <c r="C41" s="5" t="n">
        <v>43901</v>
      </c>
      <c r="D41" t="n">
        <v>75</v>
      </c>
      <c r="F41" t="inlineStr">
        <is>
          <t>FOREIGN</t>
        </is>
      </c>
      <c r="G41" t="n">
        <v>0.51</v>
      </c>
      <c r="H41" t="inlineStr">
        <is>
          <t>USD</t>
        </is>
      </c>
      <c r="I41" t="n">
        <v>0</v>
      </c>
      <c r="J41" t="inlineStr">
        <is>
          <t>USD</t>
        </is>
      </c>
      <c r="K41" t="n">
        <v>0</v>
      </c>
      <c r="L41" t="inlineStr">
        <is>
          <t>USD</t>
        </is>
      </c>
      <c r="M41" t="n">
        <v>5.74</v>
      </c>
      <c r="N41" t="inlineStr">
        <is>
          <t>USD</t>
        </is>
      </c>
      <c r="O41" t="n">
        <v>0</v>
      </c>
      <c r="P41" t="inlineStr">
        <is>
          <t>USD</t>
        </is>
      </c>
      <c r="Q41" t="n">
        <v>30</v>
      </c>
    </row>
    <row r="42">
      <c r="A42" t="inlineStr">
        <is>
          <t>2020-03-19_WES.AX</t>
        </is>
      </c>
      <c r="B42" t="inlineStr">
        <is>
          <t>WES</t>
        </is>
      </c>
      <c r="C42" s="5" t="n">
        <v>43909</v>
      </c>
      <c r="D42" t="n">
        <v>37</v>
      </c>
      <c r="F42" t="inlineStr">
        <is>
          <t>LOCAL</t>
        </is>
      </c>
      <c r="G42" t="n">
        <v>0</v>
      </c>
      <c r="H42" t="inlineStr">
        <is>
          <t>AUD</t>
        </is>
      </c>
      <c r="I42" t="n">
        <v>0.75</v>
      </c>
      <c r="J42" t="inlineStr">
        <is>
          <t>AUD</t>
        </is>
      </c>
      <c r="K42" t="n">
        <v>0</v>
      </c>
      <c r="L42" t="inlineStr">
        <is>
          <t>AUD</t>
        </is>
      </c>
      <c r="M42" t="n">
        <v>0</v>
      </c>
      <c r="N42" t="inlineStr">
        <is>
          <t>AUD</t>
        </is>
      </c>
      <c r="O42" t="n">
        <v>0</v>
      </c>
      <c r="P42" t="inlineStr">
        <is>
          <t>AUD</t>
        </is>
      </c>
      <c r="Q42" t="n">
        <v>30</v>
      </c>
    </row>
    <row r="43">
      <c r="A43" t="inlineStr">
        <is>
          <t>2020-03-25_CBA.AX</t>
        </is>
      </c>
      <c r="B43" t="inlineStr">
        <is>
          <t>CBA</t>
        </is>
      </c>
      <c r="C43" s="5" t="n">
        <v>43915</v>
      </c>
      <c r="D43" t="n">
        <v>24</v>
      </c>
      <c r="F43" t="inlineStr">
        <is>
          <t>LOCAL</t>
        </is>
      </c>
      <c r="G43" t="n">
        <v>0</v>
      </c>
      <c r="H43" t="inlineStr">
        <is>
          <t>AUD</t>
        </is>
      </c>
      <c r="I43" t="n">
        <v>2</v>
      </c>
      <c r="J43" t="inlineStr">
        <is>
          <t>AUD</t>
        </is>
      </c>
      <c r="K43" t="n">
        <v>0</v>
      </c>
      <c r="L43" t="inlineStr">
        <is>
          <t>AUD</t>
        </is>
      </c>
      <c r="M43" t="n">
        <v>0</v>
      </c>
      <c r="N43" t="inlineStr">
        <is>
          <t>AUD</t>
        </is>
      </c>
      <c r="O43" t="n">
        <v>0</v>
      </c>
      <c r="P43" t="inlineStr">
        <is>
          <t>AUD</t>
        </is>
      </c>
      <c r="Q43" t="n">
        <v>30</v>
      </c>
    </row>
    <row r="44">
      <c r="A44" t="inlineStr">
        <is>
          <t>2020-03-26_BHP.AX</t>
        </is>
      </c>
      <c r="B44" t="inlineStr">
        <is>
          <t>BHP</t>
        </is>
      </c>
      <c r="C44" s="5" t="n">
        <v>43916</v>
      </c>
      <c r="D44" t="n">
        <v>43</v>
      </c>
      <c r="F44" t="inlineStr">
        <is>
          <t>LOCAL</t>
        </is>
      </c>
      <c r="G44" t="n">
        <v>0</v>
      </c>
      <c r="H44" t="inlineStr">
        <is>
          <t>AUD</t>
        </is>
      </c>
      <c r="I44" t="n">
        <v>0.994036</v>
      </c>
      <c r="J44" t="inlineStr">
        <is>
          <t>AUD</t>
        </is>
      </c>
      <c r="K44" t="n">
        <v>0</v>
      </c>
      <c r="L44" t="inlineStr">
        <is>
          <t>AUD</t>
        </is>
      </c>
      <c r="M44" t="n">
        <v>0</v>
      </c>
      <c r="N44" t="inlineStr">
        <is>
          <t>AUD</t>
        </is>
      </c>
      <c r="O44" t="n">
        <v>0</v>
      </c>
      <c r="P44" t="inlineStr">
        <is>
          <t>AUD</t>
        </is>
      </c>
      <c r="Q44" t="n">
        <v>30</v>
      </c>
    </row>
    <row r="45">
      <c r="A45" t="inlineStr">
        <is>
          <t>2020-05-11_AAPL</t>
        </is>
      </c>
      <c r="B45" t="inlineStr">
        <is>
          <t>AAPL</t>
        </is>
      </c>
      <c r="C45" s="5" t="n">
        <v>43962</v>
      </c>
      <c r="D45" t="n">
        <v>26</v>
      </c>
      <c r="F45" t="inlineStr">
        <is>
          <t>FOREIGN</t>
        </is>
      </c>
      <c r="G45" t="n">
        <v>0.82</v>
      </c>
      <c r="H45" t="inlineStr">
        <is>
          <t>USD</t>
        </is>
      </c>
      <c r="I45" t="n">
        <v>0</v>
      </c>
      <c r="J45" t="inlineStr">
        <is>
          <t>USD</t>
        </is>
      </c>
      <c r="K45" t="n">
        <v>0</v>
      </c>
      <c r="L45" t="inlineStr">
        <is>
          <t>USD</t>
        </is>
      </c>
      <c r="M45" t="n">
        <v>3.2</v>
      </c>
      <c r="N45" t="inlineStr">
        <is>
          <t>USD</t>
        </is>
      </c>
      <c r="O45" t="n">
        <v>0</v>
      </c>
      <c r="P45" t="inlineStr">
        <is>
          <t>USD</t>
        </is>
      </c>
      <c r="Q45" t="n">
        <v>30</v>
      </c>
    </row>
    <row r="46">
      <c r="A46" t="inlineStr">
        <is>
          <t>2020-06-10_MSFT</t>
        </is>
      </c>
      <c r="B46" t="inlineStr">
        <is>
          <t>MSFT</t>
        </is>
      </c>
      <c r="C46" s="5" t="n">
        <v>43992</v>
      </c>
      <c r="D46" t="n">
        <v>77</v>
      </c>
      <c r="F46" t="inlineStr">
        <is>
          <t>FOREIGN</t>
        </is>
      </c>
      <c r="G46" t="n">
        <v>0.51</v>
      </c>
      <c r="H46" t="inlineStr">
        <is>
          <t>USD</t>
        </is>
      </c>
      <c r="I46" t="n">
        <v>0</v>
      </c>
      <c r="J46" t="inlineStr">
        <is>
          <t>USD</t>
        </is>
      </c>
      <c r="K46" t="n">
        <v>0</v>
      </c>
      <c r="L46" t="inlineStr">
        <is>
          <t>USD</t>
        </is>
      </c>
      <c r="M46" t="n">
        <v>5.89</v>
      </c>
      <c r="N46" t="inlineStr">
        <is>
          <t>USD</t>
        </is>
      </c>
      <c r="O46" t="n">
        <v>0</v>
      </c>
      <c r="P46" t="inlineStr">
        <is>
          <t>USD</t>
        </is>
      </c>
      <c r="Q46" t="n">
        <v>30</v>
      </c>
    </row>
    <row r="47">
      <c r="A47" t="inlineStr">
        <is>
          <t>2020-08-10_AAPL</t>
        </is>
      </c>
      <c r="B47" t="inlineStr">
        <is>
          <t>AAPL</t>
        </is>
      </c>
      <c r="C47" s="5" t="n">
        <v>44053</v>
      </c>
      <c r="D47" t="n">
        <v>29</v>
      </c>
      <c r="F47" t="inlineStr">
        <is>
          <t>FOREIGN</t>
        </is>
      </c>
      <c r="G47" t="n">
        <v>0.82</v>
      </c>
      <c r="H47" t="inlineStr">
        <is>
          <t>USD</t>
        </is>
      </c>
      <c r="I47" t="n">
        <v>0</v>
      </c>
      <c r="J47" t="inlineStr">
        <is>
          <t>USD</t>
        </is>
      </c>
      <c r="K47" t="n">
        <v>0</v>
      </c>
      <c r="L47" t="inlineStr">
        <is>
          <t>USD</t>
        </is>
      </c>
      <c r="M47" t="n">
        <v>3.57</v>
      </c>
      <c r="N47" t="inlineStr">
        <is>
          <t>USD</t>
        </is>
      </c>
      <c r="O47" t="n">
        <v>0</v>
      </c>
      <c r="P47" t="inlineStr">
        <is>
          <t>USD</t>
        </is>
      </c>
      <c r="Q47" t="n">
        <v>30</v>
      </c>
    </row>
    <row r="48">
      <c r="A48" t="inlineStr">
        <is>
          <t>2020-09-09_MSFT</t>
        </is>
      </c>
      <c r="B48" t="inlineStr">
        <is>
          <t>MSFT</t>
        </is>
      </c>
      <c r="C48" s="5" t="n">
        <v>44083</v>
      </c>
      <c r="D48" t="n">
        <v>82</v>
      </c>
      <c r="F48" t="inlineStr">
        <is>
          <t>FOREIGN</t>
        </is>
      </c>
      <c r="G48" t="n">
        <v>0.51</v>
      </c>
      <c r="H48" t="inlineStr">
        <is>
          <t>USD</t>
        </is>
      </c>
      <c r="I48" t="n">
        <v>0</v>
      </c>
      <c r="J48" t="inlineStr">
        <is>
          <t>USD</t>
        </is>
      </c>
      <c r="K48" t="n">
        <v>0</v>
      </c>
      <c r="L48" t="inlineStr">
        <is>
          <t>USD</t>
        </is>
      </c>
      <c r="M48" t="n">
        <v>6.27</v>
      </c>
      <c r="N48" t="inlineStr">
        <is>
          <t>USD</t>
        </is>
      </c>
      <c r="O48" t="n">
        <v>0</v>
      </c>
      <c r="P48" t="inlineStr">
        <is>
          <t>USD</t>
        </is>
      </c>
      <c r="Q48" t="n">
        <v>30</v>
      </c>
    </row>
    <row r="49">
      <c r="A49" t="inlineStr">
        <is>
          <t>2020-09-18_WES.AX</t>
        </is>
      </c>
      <c r="B49" t="inlineStr">
        <is>
          <t>WES</t>
        </is>
      </c>
      <c r="C49" s="5" t="n">
        <v>44092</v>
      </c>
      <c r="D49" t="n">
        <v>65</v>
      </c>
      <c r="F49" t="inlineStr">
        <is>
          <t>LOCAL</t>
        </is>
      </c>
      <c r="G49" t="n">
        <v>0</v>
      </c>
      <c r="H49" t="inlineStr">
        <is>
          <t>AUD</t>
        </is>
      </c>
      <c r="I49" t="n">
        <v>0.95</v>
      </c>
      <c r="J49" t="inlineStr">
        <is>
          <t>AUD</t>
        </is>
      </c>
      <c r="K49" t="n">
        <v>0</v>
      </c>
      <c r="L49" t="inlineStr">
        <is>
          <t>AUD</t>
        </is>
      </c>
      <c r="M49" t="n">
        <v>0</v>
      </c>
      <c r="N49" t="inlineStr">
        <is>
          <t>AUD</t>
        </is>
      </c>
      <c r="O49" t="n">
        <v>0</v>
      </c>
      <c r="P49" t="inlineStr">
        <is>
          <t>AUD</t>
        </is>
      </c>
      <c r="Q49" t="n">
        <v>30</v>
      </c>
    </row>
    <row r="50">
      <c r="A50" t="inlineStr">
        <is>
          <t>2020-09-23_CBA.AX</t>
        </is>
      </c>
      <c r="B50" t="inlineStr">
        <is>
          <t>CBA</t>
        </is>
      </c>
      <c r="C50" s="5" t="n">
        <v>44097</v>
      </c>
      <c r="D50" t="n">
        <v>24</v>
      </c>
      <c r="F50" t="inlineStr">
        <is>
          <t>LOCAL</t>
        </is>
      </c>
      <c r="G50" t="n">
        <v>0</v>
      </c>
      <c r="H50" t="inlineStr">
        <is>
          <t>AUD</t>
        </is>
      </c>
      <c r="I50" t="n">
        <v>0.98</v>
      </c>
      <c r="J50" t="inlineStr">
        <is>
          <t>AUD</t>
        </is>
      </c>
      <c r="K50" t="n">
        <v>0</v>
      </c>
      <c r="L50" t="inlineStr">
        <is>
          <t>AUD</t>
        </is>
      </c>
      <c r="M50" t="n">
        <v>0</v>
      </c>
      <c r="N50" t="inlineStr">
        <is>
          <t>AUD</t>
        </is>
      </c>
      <c r="O50" t="n">
        <v>0</v>
      </c>
      <c r="P50" t="inlineStr">
        <is>
          <t>AUD</t>
        </is>
      </c>
      <c r="Q50" t="n">
        <v>30</v>
      </c>
    </row>
    <row r="51">
      <c r="A51" t="inlineStr">
        <is>
          <t>2020-09-24_BHP.AX</t>
        </is>
      </c>
      <c r="B51" t="inlineStr">
        <is>
          <t>BHP</t>
        </is>
      </c>
      <c r="C51" s="5" t="n">
        <v>44098</v>
      </c>
      <c r="D51" t="n">
        <v>95</v>
      </c>
      <c r="F51" t="inlineStr">
        <is>
          <t>LOCAL</t>
        </is>
      </c>
      <c r="G51" t="n">
        <v>0</v>
      </c>
      <c r="H51" t="inlineStr">
        <is>
          <t>AUD</t>
        </is>
      </c>
      <c r="I51" t="n">
        <v>0.754561</v>
      </c>
      <c r="J51" t="inlineStr">
        <is>
          <t>AUD</t>
        </is>
      </c>
      <c r="K51" t="n">
        <v>0</v>
      </c>
      <c r="L51" t="inlineStr">
        <is>
          <t>AUD</t>
        </is>
      </c>
      <c r="M51" t="n">
        <v>0</v>
      </c>
      <c r="N51" t="inlineStr">
        <is>
          <t>AUD</t>
        </is>
      </c>
      <c r="O51" t="n">
        <v>0</v>
      </c>
      <c r="P51" t="inlineStr">
        <is>
          <t>AUD</t>
        </is>
      </c>
      <c r="Q51" t="n">
        <v>30</v>
      </c>
    </row>
    <row r="52">
      <c r="A52" t="inlineStr">
        <is>
          <t>2020-11-09_AAPL</t>
        </is>
      </c>
      <c r="B52" t="inlineStr">
        <is>
          <t>AAPL</t>
        </is>
      </c>
      <c r="C52" s="5" t="n">
        <v>44144</v>
      </c>
      <c r="D52" t="n">
        <v>122</v>
      </c>
      <c r="F52" t="inlineStr">
        <is>
          <t>FOREIGN</t>
        </is>
      </c>
      <c r="G52" t="n">
        <v>0.205</v>
      </c>
      <c r="H52" t="inlineStr">
        <is>
          <t>USD</t>
        </is>
      </c>
      <c r="I52" t="n">
        <v>0</v>
      </c>
      <c r="J52" t="inlineStr">
        <is>
          <t>USD</t>
        </is>
      </c>
      <c r="K52" t="n">
        <v>0</v>
      </c>
      <c r="L52" t="inlineStr">
        <is>
          <t>USD</t>
        </is>
      </c>
      <c r="M52" t="n">
        <v>3.75</v>
      </c>
      <c r="N52" t="inlineStr">
        <is>
          <t>USD</t>
        </is>
      </c>
      <c r="O52" t="n">
        <v>0</v>
      </c>
      <c r="P52" t="inlineStr">
        <is>
          <t>USD</t>
        </is>
      </c>
      <c r="Q52" t="n">
        <v>30</v>
      </c>
    </row>
    <row r="53">
      <c r="A53" t="inlineStr">
        <is>
          <t>2020-12-09_MSFT</t>
        </is>
      </c>
      <c r="B53" t="inlineStr">
        <is>
          <t>MSFT</t>
        </is>
      </c>
      <c r="C53" s="5" t="n">
        <v>44174</v>
      </c>
      <c r="D53" t="n">
        <v>82</v>
      </c>
      <c r="F53" t="inlineStr">
        <is>
          <t>FOREIGN</t>
        </is>
      </c>
      <c r="G53" t="n">
        <v>0.5600000000000001</v>
      </c>
      <c r="H53" t="inlineStr">
        <is>
          <t>USD</t>
        </is>
      </c>
      <c r="I53" t="n">
        <v>0</v>
      </c>
      <c r="J53" t="inlineStr">
        <is>
          <t>USD</t>
        </is>
      </c>
      <c r="K53" t="n">
        <v>0</v>
      </c>
      <c r="L53" t="inlineStr">
        <is>
          <t>USD</t>
        </is>
      </c>
      <c r="M53" t="n">
        <v>6.89</v>
      </c>
      <c r="N53" t="inlineStr">
        <is>
          <t>USD</t>
        </is>
      </c>
      <c r="O53" t="n">
        <v>0</v>
      </c>
      <c r="P53" t="inlineStr">
        <is>
          <t>USD</t>
        </is>
      </c>
      <c r="Q53" t="n">
        <v>30</v>
      </c>
    </row>
    <row r="54">
      <c r="A54" t="inlineStr">
        <is>
          <t>2021-02-08_AAPL</t>
        </is>
      </c>
      <c r="B54" t="inlineStr">
        <is>
          <t>AAPL</t>
        </is>
      </c>
      <c r="C54" s="5" t="n">
        <v>44235</v>
      </c>
      <c r="D54" t="n">
        <v>122</v>
      </c>
      <c r="F54" t="inlineStr">
        <is>
          <t>FOREIGN</t>
        </is>
      </c>
      <c r="G54" t="n">
        <v>0.205</v>
      </c>
      <c r="H54" t="inlineStr">
        <is>
          <t>USD</t>
        </is>
      </c>
      <c r="I54" t="n">
        <v>0</v>
      </c>
      <c r="J54" t="inlineStr">
        <is>
          <t>USD</t>
        </is>
      </c>
      <c r="K54" t="n">
        <v>0</v>
      </c>
      <c r="L54" t="inlineStr">
        <is>
          <t>USD</t>
        </is>
      </c>
      <c r="M54" t="n">
        <v>3.75</v>
      </c>
      <c r="N54" t="inlineStr">
        <is>
          <t>USD</t>
        </is>
      </c>
      <c r="O54" t="n">
        <v>0</v>
      </c>
      <c r="P54" t="inlineStr">
        <is>
          <t>USD</t>
        </is>
      </c>
      <c r="Q54" t="n">
        <v>30</v>
      </c>
    </row>
    <row r="55">
      <c r="A55" t="inlineStr">
        <is>
          <t>2021-03-10_MSFT</t>
        </is>
      </c>
      <c r="B55" t="inlineStr">
        <is>
          <t>MSFT</t>
        </is>
      </c>
      <c r="C55" s="5" t="n">
        <v>44265</v>
      </c>
      <c r="D55" t="n">
        <v>82</v>
      </c>
      <c r="F55" t="inlineStr">
        <is>
          <t>FOREIGN</t>
        </is>
      </c>
      <c r="G55" t="n">
        <v>0.5600000000000001</v>
      </c>
      <c r="H55" t="inlineStr">
        <is>
          <t>USD</t>
        </is>
      </c>
      <c r="I55" t="n">
        <v>0</v>
      </c>
      <c r="J55" t="inlineStr">
        <is>
          <t>USD</t>
        </is>
      </c>
      <c r="K55" t="n">
        <v>0</v>
      </c>
      <c r="L55" t="inlineStr">
        <is>
          <t>USD</t>
        </is>
      </c>
      <c r="M55" t="n">
        <v>6.89</v>
      </c>
      <c r="N55" t="inlineStr">
        <is>
          <t>USD</t>
        </is>
      </c>
      <c r="O55" t="n">
        <v>0</v>
      </c>
      <c r="P55" t="inlineStr">
        <is>
          <t>USD</t>
        </is>
      </c>
      <c r="Q55" t="n">
        <v>30</v>
      </c>
    </row>
    <row r="56">
      <c r="A56" t="inlineStr">
        <is>
          <t>2021-03-19_WES.AX</t>
        </is>
      </c>
      <c r="B56" t="inlineStr">
        <is>
          <t>WES</t>
        </is>
      </c>
      <c r="C56" s="5" t="n">
        <v>44274</v>
      </c>
      <c r="D56" t="n">
        <v>65</v>
      </c>
      <c r="F56" t="inlineStr">
        <is>
          <t>LOCAL</t>
        </is>
      </c>
      <c r="G56" t="n">
        <v>0</v>
      </c>
      <c r="H56" t="inlineStr">
        <is>
          <t>AUD</t>
        </is>
      </c>
      <c r="I56" t="n">
        <v>0.88</v>
      </c>
      <c r="J56" t="inlineStr">
        <is>
          <t>AUD</t>
        </is>
      </c>
      <c r="K56" t="n">
        <v>0</v>
      </c>
      <c r="L56" t="inlineStr">
        <is>
          <t>AUD</t>
        </is>
      </c>
      <c r="M56" t="n">
        <v>0</v>
      </c>
      <c r="N56" t="inlineStr">
        <is>
          <t>AUD</t>
        </is>
      </c>
      <c r="O56" t="n">
        <v>0</v>
      </c>
      <c r="P56" t="inlineStr">
        <is>
          <t>AUD</t>
        </is>
      </c>
      <c r="Q56" t="n">
        <v>30</v>
      </c>
    </row>
    <row r="57">
      <c r="A57" t="inlineStr">
        <is>
          <t>2021-03-23_CBA.AX</t>
        </is>
      </c>
      <c r="B57" t="inlineStr">
        <is>
          <t>CBA</t>
        </is>
      </c>
      <c r="C57" s="5" t="n">
        <v>44278</v>
      </c>
      <c r="D57" t="n">
        <v>24</v>
      </c>
      <c r="F57" t="inlineStr">
        <is>
          <t>LOCAL</t>
        </is>
      </c>
      <c r="G57" t="n">
        <v>0</v>
      </c>
      <c r="H57" t="inlineStr">
        <is>
          <t>AUD</t>
        </is>
      </c>
      <c r="I57" t="n">
        <v>1.5</v>
      </c>
      <c r="J57" t="inlineStr">
        <is>
          <t>AUD</t>
        </is>
      </c>
      <c r="K57" t="n">
        <v>0</v>
      </c>
      <c r="L57" t="inlineStr">
        <is>
          <t>AUD</t>
        </is>
      </c>
      <c r="M57" t="n">
        <v>0</v>
      </c>
      <c r="N57" t="inlineStr">
        <is>
          <t>AUD</t>
        </is>
      </c>
      <c r="O57" t="n">
        <v>0</v>
      </c>
      <c r="P57" t="inlineStr">
        <is>
          <t>AUD</t>
        </is>
      </c>
      <c r="Q57" t="n">
        <v>30</v>
      </c>
    </row>
    <row r="58">
      <c r="A58" t="inlineStr">
        <is>
          <t>2021-03-25_BHP.AX</t>
        </is>
      </c>
      <c r="B58" t="inlineStr">
        <is>
          <t>BHP</t>
        </is>
      </c>
      <c r="C58" s="5" t="n">
        <v>44280</v>
      </c>
      <c r="D58" t="n">
        <v>95</v>
      </c>
      <c r="F58" t="inlineStr">
        <is>
          <t>LOCAL</t>
        </is>
      </c>
      <c r="G58" t="n">
        <v>0</v>
      </c>
      <c r="H58" t="inlineStr">
        <is>
          <t>AUD</t>
        </is>
      </c>
      <c r="I58" t="n">
        <v>1.311347</v>
      </c>
      <c r="J58" t="inlineStr">
        <is>
          <t>AUD</t>
        </is>
      </c>
      <c r="K58" t="n">
        <v>0</v>
      </c>
      <c r="L58" t="inlineStr">
        <is>
          <t>AUD</t>
        </is>
      </c>
      <c r="M58" t="n">
        <v>0</v>
      </c>
      <c r="N58" t="inlineStr">
        <is>
          <t>AUD</t>
        </is>
      </c>
      <c r="O58" t="n">
        <v>0</v>
      </c>
      <c r="P58" t="inlineStr">
        <is>
          <t>AUD</t>
        </is>
      </c>
      <c r="Q58" t="n">
        <v>30</v>
      </c>
    </row>
    <row r="59">
      <c r="A59" t="inlineStr">
        <is>
          <t>2021-05-10_AAPL</t>
        </is>
      </c>
      <c r="B59" t="inlineStr">
        <is>
          <t>AAPL</t>
        </is>
      </c>
      <c r="C59" s="5" t="n">
        <v>44326</v>
      </c>
      <c r="D59" t="n">
        <v>122</v>
      </c>
      <c r="F59" t="inlineStr">
        <is>
          <t>FOREIGN</t>
        </is>
      </c>
      <c r="G59" t="n">
        <v>0.22</v>
      </c>
      <c r="H59" t="inlineStr">
        <is>
          <t>USD</t>
        </is>
      </c>
      <c r="I59" t="n">
        <v>0</v>
      </c>
      <c r="J59" t="inlineStr">
        <is>
          <t>USD</t>
        </is>
      </c>
      <c r="K59" t="n">
        <v>0</v>
      </c>
      <c r="L59" t="inlineStr">
        <is>
          <t>USD</t>
        </is>
      </c>
      <c r="M59" t="n">
        <v>4.03</v>
      </c>
      <c r="N59" t="inlineStr">
        <is>
          <t>USD</t>
        </is>
      </c>
      <c r="O59" t="n">
        <v>0</v>
      </c>
      <c r="P59" t="inlineStr">
        <is>
          <t>USD</t>
        </is>
      </c>
      <c r="Q59" t="n">
        <v>30</v>
      </c>
    </row>
    <row r="60">
      <c r="A60" t="inlineStr">
        <is>
          <t>2021-06-09_MSFT</t>
        </is>
      </c>
      <c r="B60" t="inlineStr">
        <is>
          <t>MSFT</t>
        </is>
      </c>
      <c r="C60" s="5" t="n">
        <v>44356</v>
      </c>
      <c r="D60" t="n">
        <v>85</v>
      </c>
      <c r="F60" t="inlineStr">
        <is>
          <t>FOREIGN</t>
        </is>
      </c>
      <c r="G60" t="n">
        <v>0.5600000000000001</v>
      </c>
      <c r="H60" t="inlineStr">
        <is>
          <t>USD</t>
        </is>
      </c>
      <c r="I60" t="n">
        <v>0</v>
      </c>
      <c r="J60" t="inlineStr">
        <is>
          <t>USD</t>
        </is>
      </c>
      <c r="K60" t="n">
        <v>0</v>
      </c>
      <c r="L60" t="inlineStr">
        <is>
          <t>USD</t>
        </is>
      </c>
      <c r="M60" t="n">
        <v>7.14</v>
      </c>
      <c r="N60" t="inlineStr">
        <is>
          <t>USD</t>
        </is>
      </c>
      <c r="O60" t="n">
        <v>0</v>
      </c>
      <c r="P60" t="inlineStr">
        <is>
          <t>USD</t>
        </is>
      </c>
      <c r="Q60" t="n">
        <v>30</v>
      </c>
    </row>
    <row r="61">
      <c r="A61" t="inlineStr">
        <is>
          <t>2021-08-09_AAPL</t>
        </is>
      </c>
      <c r="B61" t="inlineStr">
        <is>
          <t>AAPL</t>
        </is>
      </c>
      <c r="C61" s="5" t="n">
        <v>44417</v>
      </c>
      <c r="D61" t="n">
        <v>122</v>
      </c>
      <c r="F61" t="inlineStr">
        <is>
          <t>FOREIGN</t>
        </is>
      </c>
      <c r="G61" t="n">
        <v>0.22</v>
      </c>
      <c r="H61" t="inlineStr">
        <is>
          <t>USD</t>
        </is>
      </c>
      <c r="I61" t="n">
        <v>0</v>
      </c>
      <c r="J61" t="inlineStr">
        <is>
          <t>USD</t>
        </is>
      </c>
      <c r="K61" t="n">
        <v>0</v>
      </c>
      <c r="L61" t="inlineStr">
        <is>
          <t>USD</t>
        </is>
      </c>
      <c r="M61" t="n">
        <v>4.03</v>
      </c>
      <c r="N61" t="inlineStr">
        <is>
          <t>USD</t>
        </is>
      </c>
      <c r="O61" t="n">
        <v>0</v>
      </c>
      <c r="P61" t="inlineStr">
        <is>
          <t>USD</t>
        </is>
      </c>
      <c r="Q61" t="n">
        <v>30</v>
      </c>
    </row>
    <row r="62">
      <c r="A62" t="inlineStr">
        <is>
          <t>2021-09-08_MSFT</t>
        </is>
      </c>
      <c r="B62" t="inlineStr">
        <is>
          <t>MSFT</t>
        </is>
      </c>
      <c r="C62" s="5" t="n">
        <v>44447</v>
      </c>
      <c r="D62" t="n">
        <v>85</v>
      </c>
      <c r="F62" t="inlineStr">
        <is>
          <t>FOREIGN</t>
        </is>
      </c>
      <c r="G62" t="n">
        <v>0.5600000000000001</v>
      </c>
      <c r="H62" t="inlineStr">
        <is>
          <t>USD</t>
        </is>
      </c>
      <c r="I62" t="n">
        <v>0</v>
      </c>
      <c r="J62" t="inlineStr">
        <is>
          <t>USD</t>
        </is>
      </c>
      <c r="K62" t="n">
        <v>0</v>
      </c>
      <c r="L62" t="inlineStr">
        <is>
          <t>USD</t>
        </is>
      </c>
      <c r="M62" t="n">
        <v>7.14</v>
      </c>
      <c r="N62" t="inlineStr">
        <is>
          <t>USD</t>
        </is>
      </c>
      <c r="O62" t="n">
        <v>0</v>
      </c>
      <c r="P62" t="inlineStr">
        <is>
          <t>USD</t>
        </is>
      </c>
      <c r="Q62" t="n">
        <v>30</v>
      </c>
    </row>
    <row r="63">
      <c r="A63" t="inlineStr">
        <is>
          <t>2021-09-21_CBA.AX</t>
        </is>
      </c>
      <c r="B63" t="inlineStr">
        <is>
          <t>CBA</t>
        </is>
      </c>
      <c r="C63" s="5" t="n">
        <v>44460</v>
      </c>
      <c r="D63" t="n">
        <v>31</v>
      </c>
      <c r="F63" t="inlineStr">
        <is>
          <t>LOCAL</t>
        </is>
      </c>
      <c r="G63" t="n">
        <v>0</v>
      </c>
      <c r="H63" t="inlineStr">
        <is>
          <t>AUD</t>
        </is>
      </c>
      <c r="I63" t="n">
        <v>2</v>
      </c>
      <c r="J63" t="inlineStr">
        <is>
          <t>AUD</t>
        </is>
      </c>
      <c r="K63" t="n">
        <v>0</v>
      </c>
      <c r="L63" t="inlineStr">
        <is>
          <t>AUD</t>
        </is>
      </c>
      <c r="M63" t="n">
        <v>0</v>
      </c>
      <c r="N63" t="inlineStr">
        <is>
          <t>AUD</t>
        </is>
      </c>
      <c r="O63" t="n">
        <v>0</v>
      </c>
      <c r="P63" t="inlineStr">
        <is>
          <t>AUD</t>
        </is>
      </c>
      <c r="Q63" t="n">
        <v>30</v>
      </c>
    </row>
    <row r="64">
      <c r="A64" t="inlineStr">
        <is>
          <t>2021-09-23_BHP.AX</t>
        </is>
      </c>
      <c r="B64" t="inlineStr">
        <is>
          <t>BHP</t>
        </is>
      </c>
      <c r="C64" s="5" t="n">
        <v>44462</v>
      </c>
      <c r="D64" t="n">
        <v>95</v>
      </c>
      <c r="F64" t="inlineStr">
        <is>
          <t>LOCAL</t>
        </is>
      </c>
      <c r="G64" t="n">
        <v>0</v>
      </c>
      <c r="H64" t="inlineStr">
        <is>
          <t>AUD</t>
        </is>
      </c>
      <c r="I64" t="n">
        <v>2.71527</v>
      </c>
      <c r="J64" t="inlineStr">
        <is>
          <t>AUD</t>
        </is>
      </c>
      <c r="K64" t="n">
        <v>0</v>
      </c>
      <c r="L64" t="inlineStr">
        <is>
          <t>AUD</t>
        </is>
      </c>
      <c r="M64" t="n">
        <v>0</v>
      </c>
      <c r="N64" t="inlineStr">
        <is>
          <t>AUD</t>
        </is>
      </c>
      <c r="O64" t="n">
        <v>0</v>
      </c>
      <c r="P64" t="inlineStr">
        <is>
          <t>AUD</t>
        </is>
      </c>
      <c r="Q64" t="n">
        <v>30</v>
      </c>
    </row>
    <row r="65">
      <c r="A65" t="inlineStr">
        <is>
          <t>2021-09-25_WES.AX</t>
        </is>
      </c>
      <c r="B65" t="inlineStr">
        <is>
          <t>WES</t>
        </is>
      </c>
      <c r="C65" s="5" t="n">
        <v>44464</v>
      </c>
      <c r="D65" t="n">
        <v>65</v>
      </c>
      <c r="F65" t="inlineStr">
        <is>
          <t>LOCAL</t>
        </is>
      </c>
      <c r="G65" t="n">
        <v>0</v>
      </c>
      <c r="H65" t="inlineStr">
        <is>
          <t>AUD</t>
        </is>
      </c>
      <c r="I65" t="n">
        <v>0.9</v>
      </c>
      <c r="J65" t="inlineStr">
        <is>
          <t>AUD</t>
        </is>
      </c>
      <c r="K65" t="n">
        <v>0</v>
      </c>
      <c r="L65" t="inlineStr">
        <is>
          <t>AUD</t>
        </is>
      </c>
      <c r="M65" t="n">
        <v>0</v>
      </c>
      <c r="N65" t="inlineStr">
        <is>
          <t>AUD</t>
        </is>
      </c>
      <c r="O65" t="n">
        <v>0</v>
      </c>
      <c r="P65" t="inlineStr">
        <is>
          <t>AUD</t>
        </is>
      </c>
      <c r="Q65" t="n">
        <v>30</v>
      </c>
    </row>
    <row r="66">
      <c r="A66" t="inlineStr">
        <is>
          <t>2021-11-08_AAPL</t>
        </is>
      </c>
      <c r="B66" t="inlineStr">
        <is>
          <t>AAPL</t>
        </is>
      </c>
      <c r="C66" s="5" t="n">
        <v>44508</v>
      </c>
      <c r="D66" t="n">
        <v>122</v>
      </c>
      <c r="F66" t="inlineStr">
        <is>
          <t>FOREIGN</t>
        </is>
      </c>
      <c r="G66" t="n">
        <v>0.22</v>
      </c>
      <c r="H66" t="inlineStr">
        <is>
          <t>USD</t>
        </is>
      </c>
      <c r="I66" t="n">
        <v>0</v>
      </c>
      <c r="J66" t="inlineStr">
        <is>
          <t>USD</t>
        </is>
      </c>
      <c r="K66" t="n">
        <v>0</v>
      </c>
      <c r="L66" t="inlineStr">
        <is>
          <t>USD</t>
        </is>
      </c>
      <c r="M66" t="n">
        <v>4.03</v>
      </c>
      <c r="N66" t="inlineStr">
        <is>
          <t>USD</t>
        </is>
      </c>
      <c r="O66" t="n">
        <v>0</v>
      </c>
      <c r="P66" t="inlineStr">
        <is>
          <t>USD</t>
        </is>
      </c>
      <c r="Q66" t="n">
        <v>30</v>
      </c>
    </row>
    <row r="67">
      <c r="A67" t="inlineStr">
        <is>
          <t>2021-12-08_MSFT</t>
        </is>
      </c>
      <c r="B67" t="inlineStr">
        <is>
          <t>MSFT</t>
        </is>
      </c>
      <c r="C67" s="5" t="n">
        <v>44538</v>
      </c>
      <c r="D67" t="n">
        <v>88</v>
      </c>
      <c r="F67" t="inlineStr">
        <is>
          <t>FOREIGN</t>
        </is>
      </c>
      <c r="G67" t="n">
        <v>0.62</v>
      </c>
      <c r="H67" t="inlineStr">
        <is>
          <t>USD</t>
        </is>
      </c>
      <c r="I67" t="n">
        <v>0</v>
      </c>
      <c r="J67" t="inlineStr">
        <is>
          <t>USD</t>
        </is>
      </c>
      <c r="K67" t="n">
        <v>0</v>
      </c>
      <c r="L67" t="inlineStr">
        <is>
          <t>USD</t>
        </is>
      </c>
      <c r="M67" t="n">
        <v>8.18</v>
      </c>
      <c r="N67" t="inlineStr">
        <is>
          <t>USD</t>
        </is>
      </c>
      <c r="O67" t="n">
        <v>0</v>
      </c>
      <c r="P67" t="inlineStr">
        <is>
          <t>USD</t>
        </is>
      </c>
      <c r="Q67" t="n">
        <v>30</v>
      </c>
    </row>
    <row r="68">
      <c r="A68" t="inlineStr">
        <is>
          <t>2021-12-12_WES.AX</t>
        </is>
      </c>
      <c r="B68" t="inlineStr">
        <is>
          <t>WES</t>
        </is>
      </c>
      <c r="C68" s="5" t="n">
        <v>44542</v>
      </c>
      <c r="D68" t="n">
        <v>65</v>
      </c>
      <c r="F68" t="inlineStr">
        <is>
          <t>LOCAL</t>
        </is>
      </c>
      <c r="G68" t="n">
        <v>0</v>
      </c>
      <c r="H68" t="inlineStr">
        <is>
          <t>AUD</t>
        </is>
      </c>
      <c r="I68" t="n">
        <v>2</v>
      </c>
      <c r="J68" t="inlineStr">
        <is>
          <t>AUD</t>
        </is>
      </c>
      <c r="K68" t="n">
        <v>0</v>
      </c>
      <c r="L68" t="inlineStr">
        <is>
          <t>AUD</t>
        </is>
      </c>
      <c r="M68" t="n">
        <v>0</v>
      </c>
      <c r="N68" t="inlineStr">
        <is>
          <t>AUD</t>
        </is>
      </c>
      <c r="O68" t="n">
        <v>0</v>
      </c>
      <c r="P68" t="inlineStr">
        <is>
          <t>AUD</t>
        </is>
      </c>
      <c r="Q68" t="n">
        <v>30</v>
      </c>
    </row>
    <row r="69">
      <c r="A69" t="inlineStr">
        <is>
          <t>2022-02-07_AAPL</t>
        </is>
      </c>
      <c r="B69" t="inlineStr">
        <is>
          <t>AAPL</t>
        </is>
      </c>
      <c r="C69" s="5" t="n">
        <v>44599</v>
      </c>
      <c r="D69" t="n">
        <v>134</v>
      </c>
      <c r="F69" t="inlineStr">
        <is>
          <t>FOREIGN</t>
        </is>
      </c>
      <c r="G69" t="n">
        <v>0.22</v>
      </c>
      <c r="H69" t="inlineStr">
        <is>
          <t>USD</t>
        </is>
      </c>
      <c r="I69" t="n">
        <v>0</v>
      </c>
      <c r="J69" t="inlineStr">
        <is>
          <t>USD</t>
        </is>
      </c>
      <c r="K69" t="n">
        <v>0</v>
      </c>
      <c r="L69" t="inlineStr">
        <is>
          <t>USD</t>
        </is>
      </c>
      <c r="M69" t="n">
        <v>4.42</v>
      </c>
      <c r="N69" t="inlineStr">
        <is>
          <t>USD</t>
        </is>
      </c>
      <c r="O69" t="n">
        <v>0</v>
      </c>
      <c r="P69" t="inlineStr">
        <is>
          <t>USD</t>
        </is>
      </c>
      <c r="Q69" t="n">
        <v>30</v>
      </c>
    </row>
    <row r="70">
      <c r="A70" t="inlineStr">
        <is>
          <t>2022-03-09_MSFT</t>
        </is>
      </c>
      <c r="B70" t="inlineStr">
        <is>
          <t>MSFT</t>
        </is>
      </c>
      <c r="C70" s="5" t="n">
        <v>44629</v>
      </c>
      <c r="D70" t="n">
        <v>90</v>
      </c>
      <c r="F70" t="inlineStr">
        <is>
          <t>FOREIGN</t>
        </is>
      </c>
      <c r="G70" t="n">
        <v>0.62</v>
      </c>
      <c r="H70" t="inlineStr">
        <is>
          <t>USD</t>
        </is>
      </c>
      <c r="I70" t="n">
        <v>0</v>
      </c>
      <c r="J70" t="inlineStr">
        <is>
          <t>USD</t>
        </is>
      </c>
      <c r="K70" t="n">
        <v>0</v>
      </c>
      <c r="L70" t="inlineStr">
        <is>
          <t>USD</t>
        </is>
      </c>
      <c r="M70" t="n">
        <v>8.369999999999999</v>
      </c>
      <c r="N70" t="inlineStr">
        <is>
          <t>USD</t>
        </is>
      </c>
      <c r="O70" t="n">
        <v>0</v>
      </c>
      <c r="P70" t="inlineStr">
        <is>
          <t>USD</t>
        </is>
      </c>
      <c r="Q70" t="n">
        <v>30</v>
      </c>
    </row>
    <row r="71">
      <c r="A71" t="inlineStr">
        <is>
          <t>2022-03-17_BHP.AX</t>
        </is>
      </c>
      <c r="B71" t="inlineStr">
        <is>
          <t>BHP</t>
        </is>
      </c>
      <c r="C71" s="5" t="n">
        <v>44637</v>
      </c>
      <c r="D71" t="n">
        <v>121</v>
      </c>
      <c r="F71" t="inlineStr">
        <is>
          <t>LOCAL</t>
        </is>
      </c>
      <c r="G71" t="n">
        <v>0</v>
      </c>
      <c r="H71" t="inlineStr">
        <is>
          <t>AUD</t>
        </is>
      </c>
      <c r="I71" t="n">
        <v>2.080559</v>
      </c>
      <c r="J71" t="inlineStr">
        <is>
          <t>AUD</t>
        </is>
      </c>
      <c r="K71" t="n">
        <v>0</v>
      </c>
      <c r="L71" t="inlineStr">
        <is>
          <t>AUD</t>
        </is>
      </c>
      <c r="M71" t="n">
        <v>0</v>
      </c>
      <c r="N71" t="inlineStr">
        <is>
          <t>AUD</t>
        </is>
      </c>
      <c r="O71" t="n">
        <v>0</v>
      </c>
      <c r="P71" t="inlineStr">
        <is>
          <t>AUD</t>
        </is>
      </c>
      <c r="Q71" t="n">
        <v>30</v>
      </c>
    </row>
    <row r="72">
      <c r="A72" t="inlineStr">
        <is>
          <t>2022-03-18_WES.AX</t>
        </is>
      </c>
      <c r="B72" t="inlineStr">
        <is>
          <t>WES</t>
        </is>
      </c>
      <c r="C72" s="5" t="n">
        <v>44638</v>
      </c>
      <c r="D72" t="n">
        <v>65</v>
      </c>
      <c r="F72" t="inlineStr">
        <is>
          <t>LOCAL</t>
        </is>
      </c>
      <c r="G72" t="n">
        <v>0</v>
      </c>
      <c r="H72" t="inlineStr">
        <is>
          <t>AUD</t>
        </is>
      </c>
      <c r="I72" t="n">
        <v>0.8</v>
      </c>
      <c r="J72" t="inlineStr">
        <is>
          <t>AUD</t>
        </is>
      </c>
      <c r="K72" t="n">
        <v>0</v>
      </c>
      <c r="L72" t="inlineStr">
        <is>
          <t>AUD</t>
        </is>
      </c>
      <c r="M72" t="n">
        <v>0</v>
      </c>
      <c r="N72" t="inlineStr">
        <is>
          <t>AUD</t>
        </is>
      </c>
      <c r="O72" t="n">
        <v>0</v>
      </c>
      <c r="P72" t="inlineStr">
        <is>
          <t>AUD</t>
        </is>
      </c>
      <c r="Q72" t="n">
        <v>30</v>
      </c>
    </row>
    <row r="73">
      <c r="A73" t="inlineStr">
        <is>
          <t>2022-03-23_CBA.AX</t>
        </is>
      </c>
      <c r="B73" t="inlineStr">
        <is>
          <t>CBA</t>
        </is>
      </c>
      <c r="C73" s="5" t="n">
        <v>44643</v>
      </c>
      <c r="D73" t="n">
        <v>31</v>
      </c>
      <c r="F73" t="inlineStr">
        <is>
          <t>LOCAL</t>
        </is>
      </c>
      <c r="G73" t="n">
        <v>0</v>
      </c>
      <c r="H73" t="inlineStr">
        <is>
          <t>AUD</t>
        </is>
      </c>
      <c r="I73" t="n">
        <v>1.75</v>
      </c>
      <c r="J73" t="inlineStr">
        <is>
          <t>AUD</t>
        </is>
      </c>
      <c r="K73" t="n">
        <v>0</v>
      </c>
      <c r="L73" t="inlineStr">
        <is>
          <t>AUD</t>
        </is>
      </c>
      <c r="M73" t="n">
        <v>0</v>
      </c>
      <c r="N73" t="inlineStr">
        <is>
          <t>AUD</t>
        </is>
      </c>
      <c r="O73" t="n">
        <v>0</v>
      </c>
      <c r="P73" t="inlineStr">
        <is>
          <t>AUD</t>
        </is>
      </c>
      <c r="Q73" t="n">
        <v>30</v>
      </c>
    </row>
    <row r="74">
      <c r="A74" t="inlineStr">
        <is>
          <t>2022-05-09_AAPL</t>
        </is>
      </c>
      <c r="B74" t="inlineStr">
        <is>
          <t>AAPL</t>
        </is>
      </c>
      <c r="C74" s="5" t="n">
        <v>44690</v>
      </c>
      <c r="D74" t="n">
        <v>140</v>
      </c>
      <c r="F74" t="inlineStr">
        <is>
          <t>FOREIGN</t>
        </is>
      </c>
      <c r="G74" t="n">
        <v>0.23</v>
      </c>
      <c r="H74" t="inlineStr">
        <is>
          <t>USD</t>
        </is>
      </c>
      <c r="I74" t="n">
        <v>0</v>
      </c>
      <c r="J74" t="inlineStr">
        <is>
          <t>USD</t>
        </is>
      </c>
      <c r="K74" t="n">
        <v>0</v>
      </c>
      <c r="L74" t="inlineStr">
        <is>
          <t>USD</t>
        </is>
      </c>
      <c r="M74" t="n">
        <v>4.83</v>
      </c>
      <c r="N74" t="inlineStr">
        <is>
          <t>USD</t>
        </is>
      </c>
      <c r="O74" t="n">
        <v>0</v>
      </c>
      <c r="P74" t="inlineStr">
        <is>
          <t>USD</t>
        </is>
      </c>
      <c r="Q74" t="n">
        <v>30</v>
      </c>
    </row>
    <row r="75">
      <c r="A75" t="inlineStr">
        <is>
          <t>2022-06-08_MSFT</t>
        </is>
      </c>
      <c r="B75" t="inlineStr">
        <is>
          <t>MSFT</t>
        </is>
      </c>
      <c r="C75" s="5" t="n">
        <v>44720</v>
      </c>
      <c r="D75" t="n">
        <v>90</v>
      </c>
      <c r="F75" t="inlineStr">
        <is>
          <t>FOREIGN</t>
        </is>
      </c>
      <c r="G75" t="n">
        <v>0.62</v>
      </c>
      <c r="H75" t="inlineStr">
        <is>
          <t>USD</t>
        </is>
      </c>
      <c r="I75" t="n">
        <v>0</v>
      </c>
      <c r="J75" t="inlineStr">
        <is>
          <t>USD</t>
        </is>
      </c>
      <c r="K75" t="n">
        <v>0</v>
      </c>
      <c r="L75" t="inlineStr">
        <is>
          <t>USD</t>
        </is>
      </c>
      <c r="M75" t="n">
        <v>8.369999999999999</v>
      </c>
      <c r="N75" t="inlineStr">
        <is>
          <t>USD</t>
        </is>
      </c>
      <c r="O75" t="n">
        <v>0</v>
      </c>
      <c r="P75" t="inlineStr">
        <is>
          <t>USD</t>
        </is>
      </c>
      <c r="Q75" t="n">
        <v>30</v>
      </c>
    </row>
    <row r="76">
      <c r="A76" t="inlineStr">
        <is>
          <t>2022-08-08_AAPL</t>
        </is>
      </c>
      <c r="B76" t="inlineStr">
        <is>
          <t>AAPL</t>
        </is>
      </c>
      <c r="C76" s="5" t="n">
        <v>44781</v>
      </c>
      <c r="D76" t="n">
        <v>146</v>
      </c>
      <c r="F76" t="inlineStr">
        <is>
          <t>FOREIGN</t>
        </is>
      </c>
      <c r="G76" t="n">
        <v>0.23</v>
      </c>
      <c r="H76" t="inlineStr">
        <is>
          <t>USD</t>
        </is>
      </c>
      <c r="I76" t="n">
        <v>0</v>
      </c>
      <c r="J76" t="inlineStr">
        <is>
          <t>USD</t>
        </is>
      </c>
      <c r="K76" t="n">
        <v>0</v>
      </c>
      <c r="L76" t="inlineStr">
        <is>
          <t>USD</t>
        </is>
      </c>
      <c r="M76" t="n">
        <v>5.04</v>
      </c>
      <c r="N76" t="inlineStr">
        <is>
          <t>USD</t>
        </is>
      </c>
      <c r="O76" t="n">
        <v>0</v>
      </c>
      <c r="P76" t="inlineStr">
        <is>
          <t>USD</t>
        </is>
      </c>
      <c r="Q76" t="n">
        <v>30</v>
      </c>
    </row>
    <row r="77">
      <c r="A77" t="inlineStr">
        <is>
          <t>2022-09-07_MSFT</t>
        </is>
      </c>
      <c r="B77" t="inlineStr">
        <is>
          <t>MSFT</t>
        </is>
      </c>
      <c r="C77" s="5" t="n">
        <v>44811</v>
      </c>
      <c r="D77" t="n">
        <v>93</v>
      </c>
      <c r="F77" t="inlineStr">
        <is>
          <t>FOREIGN</t>
        </is>
      </c>
      <c r="G77" t="n">
        <v>0.62</v>
      </c>
      <c r="H77" t="inlineStr">
        <is>
          <t>USD</t>
        </is>
      </c>
      <c r="I77" t="n">
        <v>0</v>
      </c>
      <c r="J77" t="inlineStr">
        <is>
          <t>USD</t>
        </is>
      </c>
      <c r="K77" t="n">
        <v>0</v>
      </c>
      <c r="L77" t="inlineStr">
        <is>
          <t>USD</t>
        </is>
      </c>
      <c r="M77" t="n">
        <v>8.65</v>
      </c>
      <c r="N77" t="inlineStr">
        <is>
          <t>USD</t>
        </is>
      </c>
      <c r="O77" t="n">
        <v>0</v>
      </c>
      <c r="P77" t="inlineStr">
        <is>
          <t>USD</t>
        </is>
      </c>
      <c r="Q77" t="n">
        <v>30</v>
      </c>
    </row>
    <row r="78">
      <c r="A78" t="inlineStr">
        <is>
          <t>2022-09-21_CBA.AX</t>
        </is>
      </c>
      <c r="B78" t="inlineStr">
        <is>
          <t>CBA</t>
        </is>
      </c>
      <c r="C78" s="5" t="n">
        <v>44825</v>
      </c>
      <c r="D78" t="n">
        <v>31</v>
      </c>
      <c r="F78" t="inlineStr">
        <is>
          <t>LOCAL</t>
        </is>
      </c>
      <c r="G78" t="n">
        <v>0</v>
      </c>
      <c r="H78" t="inlineStr">
        <is>
          <t>AUD</t>
        </is>
      </c>
      <c r="I78" t="n">
        <v>2.1</v>
      </c>
      <c r="J78" t="inlineStr">
        <is>
          <t>AUD</t>
        </is>
      </c>
      <c r="K78" t="n">
        <v>0</v>
      </c>
      <c r="L78" t="inlineStr">
        <is>
          <t>AUD</t>
        </is>
      </c>
      <c r="M78" t="n">
        <v>0</v>
      </c>
      <c r="N78" t="inlineStr">
        <is>
          <t>AUD</t>
        </is>
      </c>
      <c r="O78" t="n">
        <v>0</v>
      </c>
      <c r="P78" t="inlineStr">
        <is>
          <t>AUD</t>
        </is>
      </c>
      <c r="Q78" t="n">
        <v>30</v>
      </c>
    </row>
    <row r="79">
      <c r="A79" t="inlineStr">
        <is>
          <t>2022-09-22_BHP.AX</t>
        </is>
      </c>
      <c r="B79" t="inlineStr">
        <is>
          <t>BHP</t>
        </is>
      </c>
      <c r="C79" s="5" t="n">
        <v>44826</v>
      </c>
      <c r="D79" t="n">
        <v>121</v>
      </c>
      <c r="F79" t="inlineStr">
        <is>
          <t>LOCAL</t>
        </is>
      </c>
      <c r="G79" t="n">
        <v>0</v>
      </c>
      <c r="H79" t="inlineStr">
        <is>
          <t>AUD</t>
        </is>
      </c>
      <c r="I79" t="n">
        <v>2.551839</v>
      </c>
      <c r="J79" t="inlineStr">
        <is>
          <t>AUD</t>
        </is>
      </c>
      <c r="K79" t="n">
        <v>0</v>
      </c>
      <c r="L79" t="inlineStr">
        <is>
          <t>AUD</t>
        </is>
      </c>
      <c r="M79" t="n">
        <v>0</v>
      </c>
      <c r="N79" t="inlineStr">
        <is>
          <t>AUD</t>
        </is>
      </c>
      <c r="O79" t="n">
        <v>0</v>
      </c>
      <c r="P79" t="inlineStr">
        <is>
          <t>AUD</t>
        </is>
      </c>
      <c r="Q79" t="n">
        <v>30</v>
      </c>
    </row>
    <row r="80">
      <c r="A80" t="inlineStr">
        <is>
          <t>2022-11-07_AAPL</t>
        </is>
      </c>
      <c r="B80" t="inlineStr">
        <is>
          <t>AAPL</t>
        </is>
      </c>
      <c r="C80" s="5" t="n">
        <v>44872</v>
      </c>
      <c r="D80" t="n">
        <v>146</v>
      </c>
      <c r="F80" t="inlineStr">
        <is>
          <t>FOREIGN</t>
        </is>
      </c>
      <c r="G80" t="n">
        <v>0.23</v>
      </c>
      <c r="H80" t="inlineStr">
        <is>
          <t>USD</t>
        </is>
      </c>
      <c r="I80" t="n">
        <v>0</v>
      </c>
      <c r="J80" t="inlineStr">
        <is>
          <t>USD</t>
        </is>
      </c>
      <c r="K80" t="n">
        <v>0</v>
      </c>
      <c r="L80" t="inlineStr">
        <is>
          <t>USD</t>
        </is>
      </c>
      <c r="M80" t="n">
        <v>5.04</v>
      </c>
      <c r="N80" t="inlineStr">
        <is>
          <t>USD</t>
        </is>
      </c>
      <c r="O80" t="n">
        <v>0</v>
      </c>
      <c r="P80" t="inlineStr">
        <is>
          <t>USD</t>
        </is>
      </c>
      <c r="Q80" t="n">
        <v>30</v>
      </c>
    </row>
    <row r="81">
      <c r="A81" t="inlineStr">
        <is>
          <t>2022-12-07_MSFT</t>
        </is>
      </c>
      <c r="B81" t="inlineStr">
        <is>
          <t>MSFT</t>
        </is>
      </c>
      <c r="C81" s="5" t="n">
        <v>44902</v>
      </c>
      <c r="D81" t="n">
        <v>95</v>
      </c>
      <c r="F81" t="inlineStr">
        <is>
          <t>FOREIGN</t>
        </is>
      </c>
      <c r="G81" t="n">
        <v>0.68</v>
      </c>
      <c r="H81" t="inlineStr">
        <is>
          <t>USD</t>
        </is>
      </c>
      <c r="I81" t="n">
        <v>0</v>
      </c>
      <c r="J81" t="inlineStr">
        <is>
          <t>USD</t>
        </is>
      </c>
      <c r="K81" t="n">
        <v>0</v>
      </c>
      <c r="L81" t="inlineStr">
        <is>
          <t>USD</t>
        </is>
      </c>
      <c r="M81" t="n">
        <v>9.69</v>
      </c>
      <c r="N81" t="inlineStr">
        <is>
          <t>USD</t>
        </is>
      </c>
      <c r="O81" t="n">
        <v>0</v>
      </c>
      <c r="P81" t="inlineStr">
        <is>
          <t>USD</t>
        </is>
      </c>
      <c r="Q81" t="n">
        <v>30</v>
      </c>
    </row>
    <row r="82">
      <c r="A82" t="inlineStr">
        <is>
          <t>2023-02-13_AAPL</t>
        </is>
      </c>
      <c r="B82" t="inlineStr">
        <is>
          <t>AAPL</t>
        </is>
      </c>
      <c r="C82" s="5" t="n">
        <v>44970</v>
      </c>
      <c r="D82" t="n">
        <v>146</v>
      </c>
      <c r="F82" t="inlineStr">
        <is>
          <t>FOREIGN</t>
        </is>
      </c>
      <c r="G82" t="n">
        <v>0.23</v>
      </c>
      <c r="H82" t="inlineStr">
        <is>
          <t>USD</t>
        </is>
      </c>
      <c r="I82" t="n">
        <v>0</v>
      </c>
      <c r="J82" t="inlineStr">
        <is>
          <t>USD</t>
        </is>
      </c>
      <c r="K82" t="n">
        <v>0</v>
      </c>
      <c r="L82" t="inlineStr">
        <is>
          <t>USD</t>
        </is>
      </c>
      <c r="M82" t="n">
        <v>5.04</v>
      </c>
      <c r="N82" t="inlineStr">
        <is>
          <t>USD</t>
        </is>
      </c>
      <c r="O82" t="n">
        <v>0</v>
      </c>
      <c r="P82" t="inlineStr">
        <is>
          <t>USD</t>
        </is>
      </c>
      <c r="Q82" t="n">
        <v>30</v>
      </c>
    </row>
    <row r="83">
      <c r="A83" t="inlineStr">
        <is>
          <t>2023-03-08_MSFT</t>
        </is>
      </c>
      <c r="B83" t="inlineStr">
        <is>
          <t>MSFT</t>
        </is>
      </c>
      <c r="C83" s="5" t="n">
        <v>44993</v>
      </c>
      <c r="D83" t="n">
        <v>95</v>
      </c>
      <c r="F83" t="inlineStr">
        <is>
          <t>FOREIGN</t>
        </is>
      </c>
      <c r="G83" t="n">
        <v>0.68</v>
      </c>
      <c r="H83" t="inlineStr">
        <is>
          <t>USD</t>
        </is>
      </c>
      <c r="I83" t="n">
        <v>0</v>
      </c>
      <c r="J83" t="inlineStr">
        <is>
          <t>USD</t>
        </is>
      </c>
      <c r="K83" t="n">
        <v>0</v>
      </c>
      <c r="L83" t="inlineStr">
        <is>
          <t>USD</t>
        </is>
      </c>
      <c r="M83" t="n">
        <v>9.69</v>
      </c>
      <c r="N83" t="inlineStr">
        <is>
          <t>USD</t>
        </is>
      </c>
      <c r="O83" t="n">
        <v>0</v>
      </c>
      <c r="P83" t="inlineStr">
        <is>
          <t>USD</t>
        </is>
      </c>
      <c r="Q83" t="n">
        <v>30</v>
      </c>
    </row>
    <row r="84">
      <c r="A84" t="inlineStr">
        <is>
          <t>2023-03-29_CBA.AX</t>
        </is>
      </c>
      <c r="B84" t="inlineStr">
        <is>
          <t>CBA</t>
        </is>
      </c>
      <c r="C84" s="5" t="n">
        <v>45014</v>
      </c>
      <c r="D84" t="n">
        <v>31</v>
      </c>
      <c r="F84" t="inlineStr">
        <is>
          <t>LOCAL</t>
        </is>
      </c>
      <c r="G84" t="n">
        <v>0</v>
      </c>
      <c r="H84" t="inlineStr">
        <is>
          <t>AUD</t>
        </is>
      </c>
      <c r="I84" t="n">
        <v>2.1</v>
      </c>
      <c r="J84" t="inlineStr">
        <is>
          <t>AUD</t>
        </is>
      </c>
      <c r="K84" t="n">
        <v>0</v>
      </c>
      <c r="L84" t="inlineStr">
        <is>
          <t>AUD</t>
        </is>
      </c>
      <c r="M84" t="n">
        <v>0</v>
      </c>
      <c r="N84" t="inlineStr">
        <is>
          <t>AUD</t>
        </is>
      </c>
      <c r="O84" t="n">
        <v>0</v>
      </c>
      <c r="P84" t="inlineStr">
        <is>
          <t>AUD</t>
        </is>
      </c>
      <c r="Q84" t="n">
        <v>30</v>
      </c>
    </row>
    <row r="85">
      <c r="A85" t="inlineStr">
        <is>
          <t>2023-03-30_BHP.AX</t>
        </is>
      </c>
      <c r="B85" t="inlineStr">
        <is>
          <t>BHP</t>
        </is>
      </c>
      <c r="C85" s="5" t="n">
        <v>45015</v>
      </c>
      <c r="D85" t="n">
        <v>121</v>
      </c>
      <c r="F85" t="inlineStr">
        <is>
          <t>LOCAL</t>
        </is>
      </c>
      <c r="G85" t="n">
        <v>0</v>
      </c>
      <c r="H85" t="inlineStr">
        <is>
          <t>AUD</t>
        </is>
      </c>
      <c r="I85" t="n">
        <v>1.363636</v>
      </c>
      <c r="J85" t="inlineStr">
        <is>
          <t>AUD</t>
        </is>
      </c>
      <c r="K85" t="n">
        <v>0</v>
      </c>
      <c r="L85" t="inlineStr">
        <is>
          <t>AUD</t>
        </is>
      </c>
      <c r="M85" t="n">
        <v>0</v>
      </c>
      <c r="N85" t="inlineStr">
        <is>
          <t>AUD</t>
        </is>
      </c>
      <c r="O85" t="n">
        <v>0</v>
      </c>
      <c r="P85" t="inlineStr">
        <is>
          <t>AUD</t>
        </is>
      </c>
      <c r="Q85" t="n">
        <v>30</v>
      </c>
    </row>
    <row r="86">
      <c r="A86" t="inlineStr">
        <is>
          <t>2023-05-15_AAPL</t>
        </is>
      </c>
      <c r="B86" t="inlineStr">
        <is>
          <t>AAPL</t>
        </is>
      </c>
      <c r="C86" s="5" t="n">
        <v>45061</v>
      </c>
      <c r="D86" t="n">
        <v>146</v>
      </c>
      <c r="F86" t="inlineStr">
        <is>
          <t>FOREIGN</t>
        </is>
      </c>
      <c r="G86" t="n">
        <v>0.24</v>
      </c>
      <c r="H86" t="inlineStr">
        <is>
          <t>USD</t>
        </is>
      </c>
      <c r="I86" t="n">
        <v>0</v>
      </c>
      <c r="J86" t="inlineStr">
        <is>
          <t>USD</t>
        </is>
      </c>
      <c r="K86" t="n">
        <v>0</v>
      </c>
      <c r="L86" t="inlineStr">
        <is>
          <t>USD</t>
        </is>
      </c>
      <c r="M86" t="n">
        <v>5.26</v>
      </c>
      <c r="N86" t="inlineStr">
        <is>
          <t>USD</t>
        </is>
      </c>
      <c r="O86" t="n">
        <v>0</v>
      </c>
      <c r="P86" t="inlineStr">
        <is>
          <t>USD</t>
        </is>
      </c>
      <c r="Q86" t="n">
        <v>30</v>
      </c>
    </row>
    <row r="87">
      <c r="A87" t="inlineStr">
        <is>
          <t>2023-06-07_MSFT</t>
        </is>
      </c>
      <c r="B87" t="inlineStr">
        <is>
          <t>MSFT</t>
        </is>
      </c>
      <c r="C87" s="5" t="n">
        <v>45084</v>
      </c>
      <c r="D87" t="n">
        <v>98</v>
      </c>
      <c r="F87" t="inlineStr">
        <is>
          <t>FOREIGN</t>
        </is>
      </c>
      <c r="G87" t="n">
        <v>0.68</v>
      </c>
      <c r="H87" t="inlineStr">
        <is>
          <t>USD</t>
        </is>
      </c>
      <c r="I87" t="n">
        <v>0</v>
      </c>
      <c r="J87" t="inlineStr">
        <is>
          <t>USD</t>
        </is>
      </c>
      <c r="K87" t="n">
        <v>0</v>
      </c>
      <c r="L87" t="inlineStr">
        <is>
          <t>USD</t>
        </is>
      </c>
      <c r="M87" t="n">
        <v>10</v>
      </c>
      <c r="N87" t="inlineStr">
        <is>
          <t>USD</t>
        </is>
      </c>
      <c r="O87" t="n">
        <v>0</v>
      </c>
      <c r="P87" t="inlineStr">
        <is>
          <t>USD</t>
        </is>
      </c>
      <c r="Q87" t="n">
        <v>30</v>
      </c>
    </row>
    <row r="88">
      <c r="A88" t="inlineStr">
        <is>
          <t>2023-08-14_AAPL</t>
        </is>
      </c>
      <c r="B88" t="inlineStr">
        <is>
          <t>AAPL</t>
        </is>
      </c>
      <c r="C88" s="5" t="n">
        <v>45152</v>
      </c>
      <c r="D88" t="n">
        <v>149</v>
      </c>
      <c r="F88" t="inlineStr">
        <is>
          <t>FOREIGN</t>
        </is>
      </c>
      <c r="G88" t="n">
        <v>0.24</v>
      </c>
      <c r="H88" t="inlineStr">
        <is>
          <t>USD</t>
        </is>
      </c>
      <c r="I88" t="n">
        <v>0</v>
      </c>
      <c r="J88" t="inlineStr">
        <is>
          <t>USD</t>
        </is>
      </c>
      <c r="K88" t="n">
        <v>0</v>
      </c>
      <c r="L88" t="inlineStr">
        <is>
          <t>USD</t>
        </is>
      </c>
      <c r="M88" t="n">
        <v>5.36</v>
      </c>
      <c r="N88" t="inlineStr">
        <is>
          <t>USD</t>
        </is>
      </c>
      <c r="O88" t="n">
        <v>0</v>
      </c>
      <c r="P88" t="inlineStr">
        <is>
          <t>USD</t>
        </is>
      </c>
      <c r="Q88" t="n">
        <v>30</v>
      </c>
    </row>
    <row r="89">
      <c r="A89" t="inlineStr">
        <is>
          <t>2023-09-06_MSFT</t>
        </is>
      </c>
      <c r="B89" t="inlineStr">
        <is>
          <t>MSFT</t>
        </is>
      </c>
      <c r="C89" s="5" t="n">
        <v>45175</v>
      </c>
      <c r="D89" t="n">
        <v>98</v>
      </c>
      <c r="F89" t="inlineStr">
        <is>
          <t>FOREIGN</t>
        </is>
      </c>
      <c r="G89" t="n">
        <v>0.68</v>
      </c>
      <c r="H89" t="inlineStr">
        <is>
          <t>USD</t>
        </is>
      </c>
      <c r="I89" t="n">
        <v>0</v>
      </c>
      <c r="J89" t="inlineStr">
        <is>
          <t>USD</t>
        </is>
      </c>
      <c r="K89" t="n">
        <v>0</v>
      </c>
      <c r="L89" t="inlineStr">
        <is>
          <t>USD</t>
        </is>
      </c>
      <c r="M89" t="n">
        <v>10</v>
      </c>
      <c r="N89" t="inlineStr">
        <is>
          <t>USD</t>
        </is>
      </c>
      <c r="O89" t="n">
        <v>0</v>
      </c>
      <c r="P89" t="inlineStr">
        <is>
          <t>USD</t>
        </is>
      </c>
      <c r="Q89" t="n">
        <v>30</v>
      </c>
    </row>
    <row r="90">
      <c r="A90" t="inlineStr">
        <is>
          <t>2023-09-20_CBA.AX</t>
        </is>
      </c>
      <c r="B90" t="inlineStr">
        <is>
          <t>CBA</t>
        </is>
      </c>
      <c r="C90" s="5" t="n">
        <v>45189</v>
      </c>
      <c r="D90" t="n">
        <v>38</v>
      </c>
      <c r="F90" t="inlineStr">
        <is>
          <t>LOCAL</t>
        </is>
      </c>
      <c r="G90" t="n">
        <v>0</v>
      </c>
      <c r="H90" t="inlineStr">
        <is>
          <t>AUD</t>
        </is>
      </c>
      <c r="I90" t="n">
        <v>2.4</v>
      </c>
      <c r="J90" t="inlineStr">
        <is>
          <t>AUD</t>
        </is>
      </c>
      <c r="K90" t="n">
        <v>0</v>
      </c>
      <c r="L90" t="inlineStr">
        <is>
          <t>AUD</t>
        </is>
      </c>
      <c r="M90" t="n">
        <v>0</v>
      </c>
      <c r="N90" t="inlineStr">
        <is>
          <t>AUD</t>
        </is>
      </c>
      <c r="O90" t="n">
        <v>0</v>
      </c>
      <c r="P90" t="inlineStr">
        <is>
          <t>AUD</t>
        </is>
      </c>
      <c r="Q90" t="n">
        <v>30</v>
      </c>
    </row>
    <row r="91">
      <c r="A91" t="inlineStr">
        <is>
          <t>2023-09-28_BHP.AX</t>
        </is>
      </c>
      <c r="B91" t="inlineStr">
        <is>
          <t>BHP</t>
        </is>
      </c>
      <c r="C91" s="5" t="n">
        <v>45197</v>
      </c>
      <c r="D91" t="n">
        <v>121</v>
      </c>
      <c r="F91" t="inlineStr">
        <is>
          <t>LOCAL</t>
        </is>
      </c>
      <c r="G91" t="n">
        <v>0</v>
      </c>
      <c r="H91" t="inlineStr">
        <is>
          <t>AUD</t>
        </is>
      </c>
      <c r="I91" t="n">
        <v>1.250651</v>
      </c>
      <c r="J91" t="inlineStr">
        <is>
          <t>AUD</t>
        </is>
      </c>
      <c r="K91" t="n">
        <v>0</v>
      </c>
      <c r="L91" t="inlineStr">
        <is>
          <t>AUD</t>
        </is>
      </c>
      <c r="M91" t="n">
        <v>0</v>
      </c>
      <c r="N91" t="inlineStr">
        <is>
          <t>AUD</t>
        </is>
      </c>
      <c r="O91" t="n">
        <v>0</v>
      </c>
      <c r="P91" t="inlineStr">
        <is>
          <t>AUD</t>
        </is>
      </c>
      <c r="Q91" t="n">
        <v>30</v>
      </c>
    </row>
    <row r="92">
      <c r="A92" t="inlineStr">
        <is>
          <t>2023-11-13_AAPL</t>
        </is>
      </c>
      <c r="B92" t="inlineStr">
        <is>
          <t>AAPL</t>
        </is>
      </c>
      <c r="C92" s="5" t="n">
        <v>45243</v>
      </c>
      <c r="D92" t="n">
        <v>152</v>
      </c>
      <c r="F92" t="inlineStr">
        <is>
          <t>FOREIGN</t>
        </is>
      </c>
      <c r="G92" t="n">
        <v>0.24</v>
      </c>
      <c r="H92" t="inlineStr">
        <is>
          <t>USD</t>
        </is>
      </c>
      <c r="I92" t="n">
        <v>0</v>
      </c>
      <c r="J92" t="inlineStr">
        <is>
          <t>USD</t>
        </is>
      </c>
      <c r="K92" t="n">
        <v>0</v>
      </c>
      <c r="L92" t="inlineStr">
        <is>
          <t>USD</t>
        </is>
      </c>
      <c r="M92" t="n">
        <v>5.47</v>
      </c>
      <c r="N92" t="inlineStr">
        <is>
          <t>USD</t>
        </is>
      </c>
      <c r="O92" t="n">
        <v>0</v>
      </c>
      <c r="P92" t="inlineStr">
        <is>
          <t>USD</t>
        </is>
      </c>
      <c r="Q92" t="n">
        <v>30</v>
      </c>
    </row>
    <row r="93">
      <c r="A93" t="inlineStr">
        <is>
          <t>2023-12-06_MSFT</t>
        </is>
      </c>
      <c r="B93" t="inlineStr">
        <is>
          <t>MSFT</t>
        </is>
      </c>
      <c r="C93" s="5" t="n">
        <v>45266</v>
      </c>
      <c r="D93" t="n">
        <v>99</v>
      </c>
      <c r="F93" t="inlineStr">
        <is>
          <t>FOREIGN</t>
        </is>
      </c>
      <c r="G93" t="n">
        <v>0.75</v>
      </c>
      <c r="H93" t="inlineStr">
        <is>
          <t>USD</t>
        </is>
      </c>
      <c r="I93" t="n">
        <v>0</v>
      </c>
      <c r="J93" t="inlineStr">
        <is>
          <t>USD</t>
        </is>
      </c>
      <c r="K93" t="n">
        <v>0</v>
      </c>
      <c r="L93" t="inlineStr">
        <is>
          <t>USD</t>
        </is>
      </c>
      <c r="M93" t="n">
        <v>11.14</v>
      </c>
      <c r="N93" t="inlineStr">
        <is>
          <t>USD</t>
        </is>
      </c>
      <c r="O93" t="n">
        <v>0</v>
      </c>
      <c r="P93" t="inlineStr">
        <is>
          <t>USD</t>
        </is>
      </c>
      <c r="Q93" t="n">
        <v>30</v>
      </c>
    </row>
    <row r="94">
      <c r="A94" t="inlineStr">
        <is>
          <t>2024-02-12_AAPL</t>
        </is>
      </c>
      <c r="B94" t="inlineStr">
        <is>
          <t>AAPL</t>
        </is>
      </c>
      <c r="C94" s="5" t="n">
        <v>45334</v>
      </c>
      <c r="D94" t="n">
        <v>158</v>
      </c>
      <c r="F94" t="inlineStr">
        <is>
          <t>FOREIGN</t>
        </is>
      </c>
      <c r="G94" t="n">
        <v>0.24</v>
      </c>
      <c r="H94" t="inlineStr">
        <is>
          <t>USD</t>
        </is>
      </c>
      <c r="I94" t="n">
        <v>0</v>
      </c>
      <c r="J94" t="inlineStr">
        <is>
          <t>USD</t>
        </is>
      </c>
      <c r="K94" t="n">
        <v>0</v>
      </c>
      <c r="L94" t="inlineStr">
        <is>
          <t>USD</t>
        </is>
      </c>
      <c r="M94" t="n">
        <v>5.69</v>
      </c>
      <c r="N94" t="inlineStr">
        <is>
          <t>USD</t>
        </is>
      </c>
      <c r="O94" t="n">
        <v>0</v>
      </c>
      <c r="P94" t="inlineStr">
        <is>
          <t>USD</t>
        </is>
      </c>
      <c r="Q94" t="n">
        <v>30</v>
      </c>
    </row>
    <row r="95">
      <c r="A95" t="inlineStr">
        <is>
          <t>2024-03-06_MSFT</t>
        </is>
      </c>
      <c r="B95" t="inlineStr">
        <is>
          <t>MSFT</t>
        </is>
      </c>
      <c r="C95" s="5" t="n">
        <v>45357</v>
      </c>
      <c r="D95" t="n">
        <v>100</v>
      </c>
      <c r="F95" t="inlineStr">
        <is>
          <t>FOREIGN</t>
        </is>
      </c>
      <c r="G95" t="n">
        <v>0.75</v>
      </c>
      <c r="H95" t="inlineStr">
        <is>
          <t>USD</t>
        </is>
      </c>
      <c r="I95" t="n">
        <v>0</v>
      </c>
      <c r="J95" t="inlineStr">
        <is>
          <t>USD</t>
        </is>
      </c>
      <c r="K95" t="n">
        <v>0</v>
      </c>
      <c r="L95" t="inlineStr">
        <is>
          <t>USD</t>
        </is>
      </c>
      <c r="M95" t="n">
        <v>11.25</v>
      </c>
      <c r="N95" t="inlineStr">
        <is>
          <t>USD</t>
        </is>
      </c>
      <c r="O95" t="n">
        <v>0</v>
      </c>
      <c r="P95" t="inlineStr">
        <is>
          <t>USD</t>
        </is>
      </c>
      <c r="Q95" t="n">
        <v>30</v>
      </c>
    </row>
    <row r="96">
      <c r="A96" t="inlineStr">
        <is>
          <t>2024-03-27_CBA.AX</t>
        </is>
      </c>
      <c r="B96" t="inlineStr">
        <is>
          <t>CBA</t>
        </is>
      </c>
      <c r="C96" s="5" t="n">
        <v>45378</v>
      </c>
      <c r="D96" t="n">
        <v>38</v>
      </c>
      <c r="F96" t="inlineStr">
        <is>
          <t>LOCAL</t>
        </is>
      </c>
      <c r="G96" t="n">
        <v>0</v>
      </c>
      <c r="H96" t="inlineStr">
        <is>
          <t>AUD</t>
        </is>
      </c>
      <c r="I96" t="n">
        <v>2.15</v>
      </c>
      <c r="J96" t="inlineStr">
        <is>
          <t>AUD</t>
        </is>
      </c>
      <c r="K96" t="n">
        <v>0</v>
      </c>
      <c r="L96" t="inlineStr">
        <is>
          <t>AUD</t>
        </is>
      </c>
      <c r="M96" t="n">
        <v>0</v>
      </c>
      <c r="N96" t="inlineStr">
        <is>
          <t>AUD</t>
        </is>
      </c>
      <c r="O96" t="n">
        <v>0</v>
      </c>
      <c r="P96" t="inlineStr">
        <is>
          <t>AUD</t>
        </is>
      </c>
      <c r="Q96" t="n">
        <v>30</v>
      </c>
    </row>
    <row r="97">
      <c r="A97" t="inlineStr">
        <is>
          <t>2024-03-28_BHP.AX</t>
        </is>
      </c>
      <c r="B97" t="inlineStr">
        <is>
          <t>BHP</t>
        </is>
      </c>
      <c r="C97" s="5" t="n">
        <v>45379</v>
      </c>
      <c r="D97" t="n">
        <v>138</v>
      </c>
      <c r="F97" t="inlineStr">
        <is>
          <t>LOCAL</t>
        </is>
      </c>
      <c r="G97" t="n">
        <v>0</v>
      </c>
      <c r="H97" t="inlineStr">
        <is>
          <t>AUD</t>
        </is>
      </c>
      <c r="I97" t="n">
        <v>1.096196</v>
      </c>
      <c r="J97" t="inlineStr">
        <is>
          <t>AUD</t>
        </is>
      </c>
      <c r="K97" t="n">
        <v>0</v>
      </c>
      <c r="L97" t="inlineStr">
        <is>
          <t>AUD</t>
        </is>
      </c>
      <c r="M97" t="n">
        <v>0</v>
      </c>
      <c r="N97" t="inlineStr">
        <is>
          <t>AUD</t>
        </is>
      </c>
      <c r="O97" t="n">
        <v>0</v>
      </c>
      <c r="P97" t="inlineStr">
        <is>
          <t>AUD</t>
        </is>
      </c>
      <c r="Q97" t="n">
        <v>30</v>
      </c>
    </row>
    <row r="98">
      <c r="A98" t="inlineStr">
        <is>
          <t>2024-05-13_AAPL</t>
        </is>
      </c>
      <c r="B98" t="inlineStr">
        <is>
          <t>AAPL</t>
        </is>
      </c>
      <c r="C98" s="5" t="n">
        <v>45425</v>
      </c>
      <c r="D98" t="n">
        <v>161</v>
      </c>
      <c r="F98" t="inlineStr">
        <is>
          <t>FOREIGN</t>
        </is>
      </c>
      <c r="G98" t="n">
        <v>0.25</v>
      </c>
      <c r="H98" t="inlineStr">
        <is>
          <t>USD</t>
        </is>
      </c>
      <c r="I98" t="n">
        <v>0</v>
      </c>
      <c r="J98" t="inlineStr">
        <is>
          <t>USD</t>
        </is>
      </c>
      <c r="K98" t="n">
        <v>0</v>
      </c>
      <c r="L98" t="inlineStr">
        <is>
          <t>USD</t>
        </is>
      </c>
      <c r="M98" t="n">
        <v>6.04</v>
      </c>
      <c r="N98" t="inlineStr">
        <is>
          <t>USD</t>
        </is>
      </c>
      <c r="O98" t="n">
        <v>0</v>
      </c>
      <c r="P98" t="inlineStr">
        <is>
          <t>USD</t>
        </is>
      </c>
      <c r="Q98" t="n">
        <v>30</v>
      </c>
    </row>
    <row r="99">
      <c r="A99" t="inlineStr">
        <is>
          <t>2024-06-05_MSFT</t>
        </is>
      </c>
      <c r="B99" t="inlineStr">
        <is>
          <t>MSFT</t>
        </is>
      </c>
      <c r="C99" s="5" t="n">
        <v>45448</v>
      </c>
      <c r="D99" t="n">
        <v>100</v>
      </c>
      <c r="F99" t="inlineStr">
        <is>
          <t>FOREIGN</t>
        </is>
      </c>
      <c r="G99" t="n">
        <v>0.75</v>
      </c>
      <c r="H99" t="inlineStr">
        <is>
          <t>USD</t>
        </is>
      </c>
      <c r="I99" t="n">
        <v>0</v>
      </c>
      <c r="J99" t="inlineStr">
        <is>
          <t>USD</t>
        </is>
      </c>
      <c r="K99" t="n">
        <v>0</v>
      </c>
      <c r="L99" t="inlineStr">
        <is>
          <t>USD</t>
        </is>
      </c>
      <c r="M99" t="n">
        <v>11.25</v>
      </c>
      <c r="N99" t="inlineStr">
        <is>
          <t>USD</t>
        </is>
      </c>
      <c r="O99" t="n">
        <v>0</v>
      </c>
      <c r="P99" t="inlineStr">
        <is>
          <t>USD</t>
        </is>
      </c>
      <c r="Q99" t="n">
        <v>30</v>
      </c>
    </row>
    <row r="100">
      <c r="A100" t="inlineStr">
        <is>
          <t>2024-08-15_AAPL</t>
        </is>
      </c>
      <c r="B100" t="inlineStr">
        <is>
          <t>AAPL</t>
        </is>
      </c>
      <c r="C100" s="5" t="n">
        <v>45519</v>
      </c>
      <c r="D100" t="n">
        <v>164</v>
      </c>
      <c r="F100" t="inlineStr">
        <is>
          <t>FOREIGN</t>
        </is>
      </c>
      <c r="G100" t="n">
        <v>0.25</v>
      </c>
      <c r="H100" t="inlineStr">
        <is>
          <t>USD</t>
        </is>
      </c>
      <c r="I100" t="n">
        <v>0</v>
      </c>
      <c r="J100" t="inlineStr">
        <is>
          <t>USD</t>
        </is>
      </c>
      <c r="K100" t="n">
        <v>0</v>
      </c>
      <c r="L100" t="inlineStr">
        <is>
          <t>USD</t>
        </is>
      </c>
      <c r="M100" t="n">
        <v>6.15</v>
      </c>
      <c r="N100" t="inlineStr">
        <is>
          <t>USD</t>
        </is>
      </c>
      <c r="O100" t="n">
        <v>0</v>
      </c>
      <c r="P100" t="inlineStr">
        <is>
          <t>USD</t>
        </is>
      </c>
      <c r="Q100" t="n">
        <v>30</v>
      </c>
    </row>
    <row r="101">
      <c r="A101" t="inlineStr">
        <is>
          <t>2024-09-05_MSFT</t>
        </is>
      </c>
      <c r="B101" t="inlineStr">
        <is>
          <t>MSFT</t>
        </is>
      </c>
      <c r="C101" s="5" t="n">
        <v>45540</v>
      </c>
      <c r="D101" t="n">
        <v>100</v>
      </c>
      <c r="F101" t="inlineStr">
        <is>
          <t>FOREIGN</t>
        </is>
      </c>
      <c r="G101" t="n">
        <v>0.75</v>
      </c>
      <c r="H101" t="inlineStr">
        <is>
          <t>USD</t>
        </is>
      </c>
      <c r="I101" t="n">
        <v>0</v>
      </c>
      <c r="J101" t="inlineStr">
        <is>
          <t>USD</t>
        </is>
      </c>
      <c r="K101" t="n">
        <v>0</v>
      </c>
      <c r="L101" t="inlineStr">
        <is>
          <t>USD</t>
        </is>
      </c>
      <c r="M101" t="n">
        <v>11.25</v>
      </c>
      <c r="N101" t="inlineStr">
        <is>
          <t>USD</t>
        </is>
      </c>
      <c r="O101" t="n">
        <v>0</v>
      </c>
      <c r="P101" t="inlineStr">
        <is>
          <t>USD</t>
        </is>
      </c>
      <c r="Q101" t="n">
        <v>30</v>
      </c>
    </row>
    <row r="102">
      <c r="A102" t="inlineStr">
        <is>
          <t>2024-09-25_CBA.AX</t>
        </is>
      </c>
      <c r="B102" t="inlineStr">
        <is>
          <t>CBA</t>
        </is>
      </c>
      <c r="C102" s="5" t="n">
        <v>45560</v>
      </c>
      <c r="D102" t="n">
        <v>38</v>
      </c>
      <c r="F102" t="inlineStr">
        <is>
          <t>LOCAL</t>
        </is>
      </c>
      <c r="G102" t="n">
        <v>0</v>
      </c>
      <c r="H102" t="inlineStr">
        <is>
          <t>AUD</t>
        </is>
      </c>
      <c r="I102" t="n">
        <v>2.5</v>
      </c>
      <c r="J102" t="inlineStr">
        <is>
          <t>AUD</t>
        </is>
      </c>
      <c r="K102" t="n">
        <v>0</v>
      </c>
      <c r="L102" t="inlineStr">
        <is>
          <t>AUD</t>
        </is>
      </c>
      <c r="M102" t="n">
        <v>0</v>
      </c>
      <c r="N102" t="inlineStr">
        <is>
          <t>AUD</t>
        </is>
      </c>
      <c r="O102" t="n">
        <v>0</v>
      </c>
      <c r="P102" t="inlineStr">
        <is>
          <t>AUD</t>
        </is>
      </c>
      <c r="Q102" t="n">
        <v>30</v>
      </c>
    </row>
    <row r="103">
      <c r="A103" t="inlineStr">
        <is>
          <t>2024-10-03_BHP.AX</t>
        </is>
      </c>
      <c r="B103" t="inlineStr">
        <is>
          <t>BHP</t>
        </is>
      </c>
      <c r="C103" s="5" t="n">
        <v>45568</v>
      </c>
      <c r="D103" t="n">
        <v>138</v>
      </c>
      <c r="F103" t="inlineStr">
        <is>
          <t>LOCAL</t>
        </is>
      </c>
      <c r="G103" t="n">
        <v>0</v>
      </c>
      <c r="H103" t="inlineStr">
        <is>
          <t>AUD</t>
        </is>
      </c>
      <c r="I103" t="n">
        <v>1.109986</v>
      </c>
      <c r="J103" t="inlineStr">
        <is>
          <t>AUD</t>
        </is>
      </c>
      <c r="K103" t="n">
        <v>0</v>
      </c>
      <c r="L103" t="inlineStr">
        <is>
          <t>AUD</t>
        </is>
      </c>
      <c r="M103" t="n">
        <v>0</v>
      </c>
      <c r="N103" t="inlineStr">
        <is>
          <t>AUD</t>
        </is>
      </c>
      <c r="O103" t="n">
        <v>0</v>
      </c>
      <c r="P103" t="inlineStr">
        <is>
          <t>AUD</t>
        </is>
      </c>
      <c r="Q103" t="n">
        <v>30</v>
      </c>
    </row>
    <row r="104">
      <c r="A104" t="inlineStr">
        <is>
          <t>2024-11-11_AAPL</t>
        </is>
      </c>
      <c r="B104" t="inlineStr">
        <is>
          <t>AAPL</t>
        </is>
      </c>
      <c r="C104" s="5" t="n">
        <v>45607</v>
      </c>
      <c r="D104" t="n">
        <v>164</v>
      </c>
      <c r="F104" t="inlineStr">
        <is>
          <t>FOREIGN</t>
        </is>
      </c>
      <c r="G104" t="n">
        <v>0.25</v>
      </c>
      <c r="H104" t="inlineStr">
        <is>
          <t>USD</t>
        </is>
      </c>
      <c r="I104" t="n">
        <v>0</v>
      </c>
      <c r="J104" t="inlineStr">
        <is>
          <t>USD</t>
        </is>
      </c>
      <c r="K104" t="n">
        <v>0</v>
      </c>
      <c r="L104" t="inlineStr">
        <is>
          <t>USD</t>
        </is>
      </c>
      <c r="M104" t="n">
        <v>6.15</v>
      </c>
      <c r="N104" t="inlineStr">
        <is>
          <t>USD</t>
        </is>
      </c>
      <c r="O104" t="n">
        <v>0</v>
      </c>
      <c r="P104" t="inlineStr">
        <is>
          <t>USD</t>
        </is>
      </c>
      <c r="Q104" t="n">
        <v>30</v>
      </c>
    </row>
    <row r="105">
      <c r="A105" t="inlineStr">
        <is>
          <t>2024-12-12_MSFT</t>
        </is>
      </c>
      <c r="B105" t="inlineStr">
        <is>
          <t>MSFT</t>
        </is>
      </c>
      <c r="C105" s="5" t="n">
        <v>45638</v>
      </c>
      <c r="D105" t="n">
        <v>71</v>
      </c>
      <c r="F105" t="inlineStr">
        <is>
          <t>FOREIGN</t>
        </is>
      </c>
      <c r="G105" t="n">
        <v>0.83</v>
      </c>
      <c r="H105" t="inlineStr">
        <is>
          <t>USD</t>
        </is>
      </c>
      <c r="I105" t="n">
        <v>0</v>
      </c>
      <c r="J105" t="inlineStr">
        <is>
          <t>USD</t>
        </is>
      </c>
      <c r="K105" t="n">
        <v>0</v>
      </c>
      <c r="L105" t="inlineStr">
        <is>
          <t>USD</t>
        </is>
      </c>
      <c r="M105" t="n">
        <v>8.84</v>
      </c>
      <c r="N105" t="inlineStr">
        <is>
          <t>USD</t>
        </is>
      </c>
      <c r="O105" t="n">
        <v>0</v>
      </c>
      <c r="P105" t="inlineStr">
        <is>
          <t>USD</t>
        </is>
      </c>
      <c r="Q105" t="n">
        <v>30</v>
      </c>
    </row>
    <row r="106">
      <c r="A106" t="inlineStr">
        <is>
          <t>2025-02-13_AAPL</t>
        </is>
      </c>
      <c r="B106" t="inlineStr">
        <is>
          <t>AAPL</t>
        </is>
      </c>
      <c r="C106" s="5" t="n">
        <v>45701</v>
      </c>
      <c r="D106" t="n">
        <v>164</v>
      </c>
      <c r="F106" t="inlineStr">
        <is>
          <t>FOREIGN</t>
        </is>
      </c>
      <c r="G106" t="n">
        <v>0.25</v>
      </c>
      <c r="H106" t="inlineStr">
        <is>
          <t>USD</t>
        </is>
      </c>
      <c r="I106" t="n">
        <v>0</v>
      </c>
      <c r="J106" t="inlineStr">
        <is>
          <t>USD</t>
        </is>
      </c>
      <c r="K106" t="n">
        <v>0</v>
      </c>
      <c r="L106" t="inlineStr">
        <is>
          <t>USD</t>
        </is>
      </c>
      <c r="M106" t="n">
        <v>6.15</v>
      </c>
      <c r="N106" t="inlineStr">
        <is>
          <t>USD</t>
        </is>
      </c>
      <c r="O106" t="n">
        <v>0</v>
      </c>
      <c r="P106" t="inlineStr">
        <is>
          <t>USD</t>
        </is>
      </c>
      <c r="Q106" t="n">
        <v>30</v>
      </c>
    </row>
    <row r="107">
      <c r="A107" t="inlineStr">
        <is>
          <t>2025-03-13_MSFT</t>
        </is>
      </c>
      <c r="B107" t="inlineStr">
        <is>
          <t>MSFT</t>
        </is>
      </c>
      <c r="C107" s="5" t="n">
        <v>45729</v>
      </c>
      <c r="D107" t="n">
        <v>72</v>
      </c>
      <c r="F107" t="inlineStr">
        <is>
          <t>FOREIGN</t>
        </is>
      </c>
      <c r="G107" t="n">
        <v>0.83</v>
      </c>
      <c r="H107" t="inlineStr">
        <is>
          <t>USD</t>
        </is>
      </c>
      <c r="I107" t="n">
        <v>0</v>
      </c>
      <c r="J107" t="inlineStr">
        <is>
          <t>USD</t>
        </is>
      </c>
      <c r="K107" t="n">
        <v>0</v>
      </c>
      <c r="L107" t="inlineStr">
        <is>
          <t>USD</t>
        </is>
      </c>
      <c r="M107" t="n">
        <v>8.960000000000001</v>
      </c>
      <c r="N107" t="inlineStr">
        <is>
          <t>USD</t>
        </is>
      </c>
      <c r="O107" t="n">
        <v>0</v>
      </c>
      <c r="P107" t="inlineStr">
        <is>
          <t>USD</t>
        </is>
      </c>
      <c r="Q107" t="n">
        <v>30</v>
      </c>
    </row>
    <row r="108">
      <c r="A108" t="inlineStr">
        <is>
          <t>2025-03-26_CBA.AX</t>
        </is>
      </c>
      <c r="B108" t="inlineStr">
        <is>
          <t>CBA</t>
        </is>
      </c>
      <c r="C108" s="5" t="n">
        <v>45742</v>
      </c>
      <c r="D108" t="n">
        <v>38</v>
      </c>
      <c r="F108" t="inlineStr">
        <is>
          <t>LOCAL</t>
        </is>
      </c>
      <c r="G108" t="n">
        <v>0</v>
      </c>
      <c r="H108" t="inlineStr">
        <is>
          <t>AUD</t>
        </is>
      </c>
      <c r="I108" t="n">
        <v>2.25</v>
      </c>
      <c r="J108" t="inlineStr">
        <is>
          <t>AUD</t>
        </is>
      </c>
      <c r="K108" t="n">
        <v>0</v>
      </c>
      <c r="L108" t="inlineStr">
        <is>
          <t>AUD</t>
        </is>
      </c>
      <c r="M108" t="n">
        <v>0</v>
      </c>
      <c r="N108" t="inlineStr">
        <is>
          <t>AUD</t>
        </is>
      </c>
      <c r="O108" t="n">
        <v>0</v>
      </c>
      <c r="P108" t="inlineStr">
        <is>
          <t>AUD</t>
        </is>
      </c>
      <c r="Q108" t="n">
        <v>30</v>
      </c>
    </row>
    <row r="109">
      <c r="A109" t="inlineStr">
        <is>
          <t>2025-03-27_BHP.AX</t>
        </is>
      </c>
      <c r="B109" t="inlineStr">
        <is>
          <t>BHP</t>
        </is>
      </c>
      <c r="C109" s="5" t="n">
        <v>45743</v>
      </c>
      <c r="D109" t="n">
        <v>138</v>
      </c>
      <c r="F109" t="inlineStr">
        <is>
          <t>LOCAL</t>
        </is>
      </c>
      <c r="G109" t="n">
        <v>0</v>
      </c>
      <c r="H109" t="inlineStr">
        <is>
          <t>AUD</t>
        </is>
      </c>
      <c r="I109" t="n">
        <v>0.7909350000000001</v>
      </c>
      <c r="J109" t="inlineStr">
        <is>
          <t>AUD</t>
        </is>
      </c>
      <c r="K109" t="n">
        <v>0</v>
      </c>
      <c r="L109" t="inlineStr">
        <is>
          <t>AUD</t>
        </is>
      </c>
      <c r="M109" t="n">
        <v>0</v>
      </c>
      <c r="N109" t="inlineStr">
        <is>
          <t>AUD</t>
        </is>
      </c>
      <c r="O109" t="n">
        <v>0</v>
      </c>
      <c r="P109" t="inlineStr">
        <is>
          <t>AUD</t>
        </is>
      </c>
      <c r="Q109" t="n">
        <v>30</v>
      </c>
    </row>
    <row r="110">
      <c r="A110" t="inlineStr">
        <is>
          <t>2025-05-15_AAPL</t>
        </is>
      </c>
      <c r="B110" t="inlineStr">
        <is>
          <t>AAPL</t>
        </is>
      </c>
      <c r="C110" s="5" t="n">
        <v>45792</v>
      </c>
      <c r="D110" t="n">
        <v>167</v>
      </c>
      <c r="F110" t="inlineStr">
        <is>
          <t>FOREIGN</t>
        </is>
      </c>
      <c r="G110" t="n">
        <v>0.26</v>
      </c>
      <c r="H110" t="inlineStr">
        <is>
          <t>USD</t>
        </is>
      </c>
      <c r="I110" t="n">
        <v>0</v>
      </c>
      <c r="J110" t="inlineStr">
        <is>
          <t>USD</t>
        </is>
      </c>
      <c r="K110" t="n">
        <v>0</v>
      </c>
      <c r="L110" t="inlineStr">
        <is>
          <t>USD</t>
        </is>
      </c>
      <c r="M110" t="n">
        <v>6.51</v>
      </c>
      <c r="N110" t="inlineStr">
        <is>
          <t>USD</t>
        </is>
      </c>
      <c r="O110" t="n">
        <v>0</v>
      </c>
      <c r="P110" t="inlineStr">
        <is>
          <t>USD</t>
        </is>
      </c>
      <c r="Q110" t="n">
        <v>30</v>
      </c>
    </row>
    <row r="111">
      <c r="A111" t="inlineStr">
        <is>
          <t>2025-06-05_MSFT</t>
        </is>
      </c>
      <c r="B111" t="inlineStr">
        <is>
          <t>MSFT</t>
        </is>
      </c>
      <c r="C111" s="5" t="n">
        <v>45813</v>
      </c>
      <c r="D111" t="n">
        <v>72</v>
      </c>
      <c r="F111" t="inlineStr">
        <is>
          <t>FOREIGN</t>
        </is>
      </c>
      <c r="G111" t="n">
        <v>0.83</v>
      </c>
      <c r="H111" t="inlineStr">
        <is>
          <t>USD</t>
        </is>
      </c>
      <c r="I111" t="n">
        <v>0</v>
      </c>
      <c r="J111" t="inlineStr">
        <is>
          <t>USD</t>
        </is>
      </c>
      <c r="K111" t="n">
        <v>0</v>
      </c>
      <c r="L111" t="inlineStr">
        <is>
          <t>USD</t>
        </is>
      </c>
      <c r="M111" t="n">
        <v>8.960000000000001</v>
      </c>
      <c r="N111" t="inlineStr">
        <is>
          <t>USD</t>
        </is>
      </c>
      <c r="O111" t="n">
        <v>0</v>
      </c>
      <c r="P111" t="inlineStr">
        <is>
          <t>USD</t>
        </is>
      </c>
      <c r="Q111" t="n">
        <v>30</v>
      </c>
    </row>
    <row r="112">
      <c r="A112" t="inlineStr">
        <is>
          <t>2025-08-14_AAPL</t>
        </is>
      </c>
      <c r="B112" t="inlineStr">
        <is>
          <t>AAPL</t>
        </is>
      </c>
      <c r="C112" s="5" t="n">
        <v>45883</v>
      </c>
      <c r="D112" t="n">
        <v>167</v>
      </c>
      <c r="F112" t="inlineStr">
        <is>
          <t>FOREIGN</t>
        </is>
      </c>
      <c r="G112" t="n">
        <v>0.26</v>
      </c>
      <c r="H112" t="inlineStr">
        <is>
          <t>USD</t>
        </is>
      </c>
      <c r="I112" t="n">
        <v>0</v>
      </c>
      <c r="J112" t="inlineStr">
        <is>
          <t>USD</t>
        </is>
      </c>
      <c r="K112" t="n">
        <v>0</v>
      </c>
      <c r="L112" t="inlineStr">
        <is>
          <t>USD</t>
        </is>
      </c>
      <c r="M112" t="n">
        <v>6.51</v>
      </c>
      <c r="N112" t="inlineStr">
        <is>
          <t>USD</t>
        </is>
      </c>
      <c r="O112" t="n">
        <v>0</v>
      </c>
      <c r="P112" t="inlineStr">
        <is>
          <t>USD</t>
        </is>
      </c>
      <c r="Q112" t="n">
        <v>30</v>
      </c>
    </row>
    <row r="113">
      <c r="A113" t="inlineStr">
        <is>
          <t>2025-09-11_MSFT</t>
        </is>
      </c>
      <c r="B113" t="inlineStr">
        <is>
          <t>MSFT</t>
        </is>
      </c>
      <c r="C113" s="5" t="n">
        <v>45911</v>
      </c>
      <c r="D113" t="n">
        <v>75</v>
      </c>
      <c r="F113" t="inlineStr">
        <is>
          <t>FOREIGN</t>
        </is>
      </c>
      <c r="G113" t="n">
        <v>0.83</v>
      </c>
      <c r="H113" t="inlineStr">
        <is>
          <t>USD</t>
        </is>
      </c>
      <c r="I113" t="n">
        <v>0</v>
      </c>
      <c r="J113" t="inlineStr">
        <is>
          <t>USD</t>
        </is>
      </c>
      <c r="K113" t="n">
        <v>0</v>
      </c>
      <c r="L113" t="inlineStr">
        <is>
          <t>USD</t>
        </is>
      </c>
      <c r="M113" t="n">
        <v>9.34</v>
      </c>
      <c r="N113" t="inlineStr">
        <is>
          <t>USD</t>
        </is>
      </c>
      <c r="O113" t="n">
        <v>0</v>
      </c>
      <c r="P113" t="inlineStr">
        <is>
          <t>USD</t>
        </is>
      </c>
      <c r="Q113" t="n">
        <v>30</v>
      </c>
    </row>
    <row r="114">
      <c r="A114" t="inlineStr">
        <is>
          <t>2025-09-24_CBA.AX</t>
        </is>
      </c>
      <c r="B114" t="inlineStr">
        <is>
          <t>CBA</t>
        </is>
      </c>
      <c r="C114" s="5" t="n">
        <v>45924</v>
      </c>
      <c r="D114" t="n">
        <v>41</v>
      </c>
      <c r="F114" t="inlineStr">
        <is>
          <t>LOCAL</t>
        </is>
      </c>
      <c r="G114" t="n">
        <v>0</v>
      </c>
      <c r="H114" t="inlineStr">
        <is>
          <t>AUD</t>
        </is>
      </c>
      <c r="I114" t="n">
        <v>2.6</v>
      </c>
      <c r="J114" t="inlineStr">
        <is>
          <t>AUD</t>
        </is>
      </c>
      <c r="K114" t="n">
        <v>0</v>
      </c>
      <c r="L114" t="inlineStr">
        <is>
          <t>AUD</t>
        </is>
      </c>
      <c r="M114" t="n">
        <v>0</v>
      </c>
      <c r="N114" t="inlineStr">
        <is>
          <t>AUD</t>
        </is>
      </c>
      <c r="O114" t="n">
        <v>0</v>
      </c>
      <c r="P114" t="inlineStr">
        <is>
          <t>AUD</t>
        </is>
      </c>
      <c r="Q114" t="n">
        <v>30</v>
      </c>
    </row>
    <row r="115">
      <c r="A115" t="inlineStr">
        <is>
          <t>2025-09-25_BHP.AX</t>
        </is>
      </c>
      <c r="B115" t="inlineStr">
        <is>
          <t>BHP</t>
        </is>
      </c>
      <c r="C115" s="5" t="n">
        <v>45925</v>
      </c>
      <c r="D115" t="n">
        <v>138</v>
      </c>
      <c r="F115" t="inlineStr">
        <is>
          <t>LOCAL</t>
        </is>
      </c>
      <c r="G115" t="n">
        <v>0</v>
      </c>
      <c r="H115" t="inlineStr">
        <is>
          <t>AUD</t>
        </is>
      </c>
      <c r="I115" t="n">
        <v>0.919273</v>
      </c>
      <c r="J115" t="inlineStr">
        <is>
          <t>AUD</t>
        </is>
      </c>
      <c r="K115" t="n">
        <v>0</v>
      </c>
      <c r="L115" t="inlineStr">
        <is>
          <t>AUD</t>
        </is>
      </c>
      <c r="M115" t="n">
        <v>0</v>
      </c>
      <c r="N115" t="inlineStr">
        <is>
          <t>AUD</t>
        </is>
      </c>
      <c r="O115" t="n">
        <v>0</v>
      </c>
      <c r="P115" t="inlineStr">
        <is>
          <t>AUD</t>
        </is>
      </c>
      <c r="Q115" t="n">
        <v>30</v>
      </c>
    </row>
    <row r="116">
      <c r="A116" t="inlineStr">
        <is>
          <t>2025-11-13_AAPL</t>
        </is>
      </c>
      <c r="B116" t="inlineStr">
        <is>
          <t>AAPL</t>
        </is>
      </c>
      <c r="C116" s="5" t="n">
        <v>45974</v>
      </c>
      <c r="D116" t="n">
        <v>168</v>
      </c>
      <c r="F116" t="inlineStr">
        <is>
          <t>FOREIGN</t>
        </is>
      </c>
      <c r="G116" t="n">
        <v>0.26</v>
      </c>
      <c r="H116" t="inlineStr">
        <is>
          <t>USD</t>
        </is>
      </c>
      <c r="I116" t="n">
        <v>0</v>
      </c>
      <c r="J116" t="inlineStr">
        <is>
          <t>USD</t>
        </is>
      </c>
      <c r="K116" t="n">
        <v>0</v>
      </c>
      <c r="L116" t="inlineStr">
        <is>
          <t>USD</t>
        </is>
      </c>
      <c r="M116" t="n">
        <v>6.55</v>
      </c>
      <c r="N116" t="inlineStr">
        <is>
          <t>USD</t>
        </is>
      </c>
      <c r="O116" t="n">
        <v>0</v>
      </c>
      <c r="P116" t="inlineStr">
        <is>
          <t>USD</t>
        </is>
      </c>
      <c r="Q116" t="n">
        <v>30</v>
      </c>
    </row>
    <row r="117">
      <c r="A117" t="inlineStr">
        <is>
          <t>2025-12-11_MSFT</t>
        </is>
      </c>
      <c r="B117" t="inlineStr">
        <is>
          <t>MSFT</t>
        </is>
      </c>
      <c r="C117" s="5" t="n">
        <v>46002</v>
      </c>
      <c r="D117" t="n">
        <v>76</v>
      </c>
      <c r="F117" t="inlineStr">
        <is>
          <t>FOREIGN</t>
        </is>
      </c>
      <c r="G117" t="n">
        <v>0.91</v>
      </c>
      <c r="H117" t="inlineStr">
        <is>
          <t>USD</t>
        </is>
      </c>
      <c r="I117" t="n">
        <v>0</v>
      </c>
      <c r="J117" t="inlineStr">
        <is>
          <t>USD</t>
        </is>
      </c>
      <c r="K117" t="n">
        <v>0</v>
      </c>
      <c r="L117" t="inlineStr">
        <is>
          <t>USD</t>
        </is>
      </c>
      <c r="M117" t="n">
        <v>10.37</v>
      </c>
      <c r="N117" t="inlineStr">
        <is>
          <t>USD</t>
        </is>
      </c>
      <c r="O117" t="n">
        <v>0</v>
      </c>
      <c r="P117" t="inlineStr">
        <is>
          <t>USD</t>
        </is>
      </c>
      <c r="Q117" t="n">
        <v>30</v>
      </c>
    </row>
    <row r="118">
      <c r="A118" t="inlineStr">
        <is>
          <t>2026-02-12_AAPL</t>
        </is>
      </c>
      <c r="B118" t="inlineStr">
        <is>
          <t>AAPL</t>
        </is>
      </c>
      <c r="C118" s="5" t="n">
        <v>46065</v>
      </c>
      <c r="D118" t="n">
        <v>168</v>
      </c>
      <c r="F118" t="inlineStr">
        <is>
          <t>FOREIGN</t>
        </is>
      </c>
      <c r="G118" t="n">
        <v>0.26</v>
      </c>
      <c r="H118" t="inlineStr">
        <is>
          <t>USD</t>
        </is>
      </c>
      <c r="I118" t="n">
        <v>0</v>
      </c>
      <c r="J118" t="inlineStr">
        <is>
          <t>USD</t>
        </is>
      </c>
      <c r="K118" t="n">
        <v>0</v>
      </c>
      <c r="L118" t="inlineStr">
        <is>
          <t>USD</t>
        </is>
      </c>
      <c r="M118" t="n">
        <v>6.55</v>
      </c>
      <c r="N118" t="inlineStr">
        <is>
          <t>USD</t>
        </is>
      </c>
      <c r="O118" t="n">
        <v>0</v>
      </c>
      <c r="P118" t="inlineStr">
        <is>
          <t>USD</t>
        </is>
      </c>
      <c r="Q118" t="n">
        <v>30</v>
      </c>
    </row>
    <row r="119">
      <c r="A119" t="inlineStr">
        <is>
          <t>2026-03-12_MSFT</t>
        </is>
      </c>
      <c r="B119" t="inlineStr">
        <is>
          <t>MSFT</t>
        </is>
      </c>
      <c r="C119" s="5" t="n">
        <v>46093</v>
      </c>
      <c r="D119" t="n">
        <v>77</v>
      </c>
      <c r="F119" t="inlineStr">
        <is>
          <t>FOREIGN</t>
        </is>
      </c>
      <c r="G119" t="n">
        <v>0.91</v>
      </c>
      <c r="H119" t="inlineStr">
        <is>
          <t>USD</t>
        </is>
      </c>
      <c r="I119" t="n">
        <v>0</v>
      </c>
      <c r="J119" t="inlineStr">
        <is>
          <t>USD</t>
        </is>
      </c>
      <c r="K119" t="n">
        <v>0</v>
      </c>
      <c r="L119" t="inlineStr">
        <is>
          <t>USD</t>
        </is>
      </c>
      <c r="M119" t="n">
        <v>10.51</v>
      </c>
      <c r="N119" t="inlineStr">
        <is>
          <t>USD</t>
        </is>
      </c>
      <c r="O119" t="n">
        <v>0</v>
      </c>
      <c r="P119" t="inlineStr">
        <is>
          <t>USD</t>
        </is>
      </c>
      <c r="Q119" t="n">
        <v>30</v>
      </c>
    </row>
    <row r="120">
      <c r="A120" t="inlineStr">
        <is>
          <t>2026-03-25_CBA.AX</t>
        </is>
      </c>
      <c r="B120" t="inlineStr">
        <is>
          <t>CBA</t>
        </is>
      </c>
      <c r="C120" s="5" t="n">
        <v>46106</v>
      </c>
      <c r="D120" t="n">
        <v>41</v>
      </c>
      <c r="F120" t="inlineStr">
        <is>
          <t>LOCAL</t>
        </is>
      </c>
      <c r="G120" t="n">
        <v>0</v>
      </c>
      <c r="H120" t="inlineStr">
        <is>
          <t>AUD</t>
        </is>
      </c>
      <c r="I120" t="n">
        <v>2.35</v>
      </c>
      <c r="J120" t="inlineStr">
        <is>
          <t>AUD</t>
        </is>
      </c>
      <c r="K120" t="n">
        <v>0</v>
      </c>
      <c r="L120" t="inlineStr">
        <is>
          <t>AUD</t>
        </is>
      </c>
      <c r="M120" t="n">
        <v>0</v>
      </c>
      <c r="N120" t="inlineStr">
        <is>
          <t>AUD</t>
        </is>
      </c>
      <c r="O120" t="n">
        <v>0</v>
      </c>
      <c r="P120" t="inlineStr">
        <is>
          <t>AUD</t>
        </is>
      </c>
      <c r="Q120" t="n">
        <v>30</v>
      </c>
    </row>
    <row r="121">
      <c r="A121" t="inlineStr">
        <is>
          <t>2026-03-26_BHP.AX</t>
        </is>
      </c>
      <c r="B121" t="inlineStr">
        <is>
          <t>BHP</t>
        </is>
      </c>
      <c r="C121" s="5" t="n">
        <v>46107</v>
      </c>
      <c r="D121" t="n">
        <v>163</v>
      </c>
      <c r="F121" t="inlineStr">
        <is>
          <t>LOCAL</t>
        </is>
      </c>
      <c r="G121" t="n">
        <v>0</v>
      </c>
      <c r="H121" t="inlineStr">
        <is>
          <t>AUD</t>
        </is>
      </c>
      <c r="I121" t="n">
        <v>1.038469</v>
      </c>
      <c r="J121" t="inlineStr">
        <is>
          <t>AUD</t>
        </is>
      </c>
      <c r="K121" t="n">
        <v>0</v>
      </c>
      <c r="L121" t="inlineStr">
        <is>
          <t>AUD</t>
        </is>
      </c>
      <c r="M121" t="n">
        <v>0</v>
      </c>
      <c r="N121" t="inlineStr">
        <is>
          <t>AUD</t>
        </is>
      </c>
      <c r="O121" t="n">
        <v>0</v>
      </c>
      <c r="P121" t="inlineStr">
        <is>
          <t>AUD</t>
        </is>
      </c>
      <c r="Q121" t="n">
        <v>30</v>
      </c>
    </row>
    <row r="122">
      <c r="A122" t="inlineStr">
        <is>
          <t>2026-05-14_AAPL</t>
        </is>
      </c>
      <c r="B122" t="inlineStr">
        <is>
          <t>AAPL</t>
        </is>
      </c>
      <c r="C122" s="5" t="n">
        <v>46156</v>
      </c>
      <c r="D122" t="n">
        <v>171</v>
      </c>
      <c r="F122" t="inlineStr">
        <is>
          <t>FOREIGN</t>
        </is>
      </c>
      <c r="G122" t="n">
        <v>0.27</v>
      </c>
      <c r="H122" t="inlineStr">
        <is>
          <t>USD</t>
        </is>
      </c>
      <c r="I122" t="n">
        <v>0</v>
      </c>
      <c r="J122" t="inlineStr">
        <is>
          <t>USD</t>
        </is>
      </c>
      <c r="K122" t="n">
        <v>0</v>
      </c>
      <c r="L122" t="inlineStr">
        <is>
          <t>USD</t>
        </is>
      </c>
      <c r="M122" t="n">
        <v>6.93</v>
      </c>
      <c r="N122" t="inlineStr">
        <is>
          <t>USD</t>
        </is>
      </c>
      <c r="O122" t="n">
        <v>0</v>
      </c>
      <c r="P122" t="inlineStr">
        <is>
          <t>USD</t>
        </is>
      </c>
      <c r="Q122" t="n">
        <v>30</v>
      </c>
    </row>
    <row r="123">
      <c r="A123" t="inlineStr">
        <is>
          <t>2026-06-11_MSFT</t>
        </is>
      </c>
      <c r="B123" t="inlineStr">
        <is>
          <t>MSFT</t>
        </is>
      </c>
      <c r="C123" s="5" t="n">
        <v>46184</v>
      </c>
      <c r="D123" t="n">
        <v>77</v>
      </c>
      <c r="F123" t="inlineStr">
        <is>
          <t>FOREIGN</t>
        </is>
      </c>
      <c r="G123" t="n">
        <v>0.91</v>
      </c>
      <c r="H123" t="inlineStr">
        <is>
          <t>USD</t>
        </is>
      </c>
      <c r="I123" t="n">
        <v>0</v>
      </c>
      <c r="J123" t="inlineStr">
        <is>
          <t>USD</t>
        </is>
      </c>
      <c r="K123" t="n">
        <v>0</v>
      </c>
      <c r="L123" t="inlineStr">
        <is>
          <t>USD</t>
        </is>
      </c>
      <c r="M123" t="n">
        <v>10.51</v>
      </c>
      <c r="N123" t="inlineStr">
        <is>
          <t>USD</t>
        </is>
      </c>
      <c r="O123" t="n">
        <v>0</v>
      </c>
      <c r="P123" t="inlineStr">
        <is>
          <t>USD</t>
        </is>
      </c>
      <c r="Q123" t="n">
        <v>30</v>
      </c>
    </row>
    <row r="124">
      <c r="A124" t="inlineStr">
        <is>
          <t>2026-08-13_AAPL</t>
        </is>
      </c>
      <c r="B124" t="inlineStr">
        <is>
          <t>AAPL</t>
        </is>
      </c>
      <c r="C124" s="5" t="n">
        <v>46247</v>
      </c>
      <c r="D124" t="n">
        <v>171</v>
      </c>
      <c r="F124" t="inlineStr">
        <is>
          <t>FOREIGN</t>
        </is>
      </c>
      <c r="G124" t="n">
        <v>0.27</v>
      </c>
      <c r="H124" t="inlineStr">
        <is>
          <t>USD</t>
        </is>
      </c>
      <c r="I124" t="n">
        <v>0</v>
      </c>
      <c r="J124" t="inlineStr">
        <is>
          <t>USD</t>
        </is>
      </c>
      <c r="K124" t="n">
        <v>0</v>
      </c>
      <c r="L124" t="inlineStr">
        <is>
          <t>USD</t>
        </is>
      </c>
      <c r="M124" t="n">
        <v>6.93</v>
      </c>
      <c r="N124" t="inlineStr">
        <is>
          <t>USD</t>
        </is>
      </c>
      <c r="O124" t="n">
        <v>0</v>
      </c>
      <c r="P124" t="inlineStr">
        <is>
          <t>USD</t>
        </is>
      </c>
      <c r="Q124" t="n">
        <v>30</v>
      </c>
    </row>
    <row r="125">
      <c r="A125" t="inlineStr">
        <is>
          <t>2026-09-10_MSFT</t>
        </is>
      </c>
      <c r="B125" t="inlineStr">
        <is>
          <t>MSFT</t>
        </is>
      </c>
      <c r="C125" s="5" t="n">
        <v>46275</v>
      </c>
      <c r="D125" t="n">
        <v>81</v>
      </c>
      <c r="F125" t="inlineStr">
        <is>
          <t>FOREIGN</t>
        </is>
      </c>
      <c r="G125" t="n">
        <v>0.91</v>
      </c>
      <c r="H125" t="inlineStr">
        <is>
          <t>USD</t>
        </is>
      </c>
      <c r="I125" t="n">
        <v>0</v>
      </c>
      <c r="J125" t="inlineStr">
        <is>
          <t>USD</t>
        </is>
      </c>
      <c r="K125" t="n">
        <v>0</v>
      </c>
      <c r="L125" t="inlineStr">
        <is>
          <t>USD</t>
        </is>
      </c>
      <c r="M125" t="n">
        <v>11.06</v>
      </c>
      <c r="N125" t="inlineStr">
        <is>
          <t>USD</t>
        </is>
      </c>
      <c r="O125" t="n">
        <v>0</v>
      </c>
      <c r="P125" t="inlineStr">
        <is>
          <t>USD</t>
        </is>
      </c>
      <c r="Q125" t="n">
        <v>30</v>
      </c>
    </row>
    <row r="126">
      <c r="A126" t="inlineStr">
        <is>
          <t>2026-09-23_CBA.AX</t>
        </is>
      </c>
      <c r="B126" t="inlineStr">
        <is>
          <t>CBA</t>
        </is>
      </c>
      <c r="C126" s="5" t="n">
        <v>46288</v>
      </c>
      <c r="D126" t="n">
        <v>41</v>
      </c>
      <c r="F126" t="inlineStr">
        <is>
          <t>LOCAL</t>
        </is>
      </c>
      <c r="G126" t="n">
        <v>0</v>
      </c>
      <c r="H126" t="inlineStr">
        <is>
          <t>AUD</t>
        </is>
      </c>
      <c r="I126" t="n">
        <v>2.7</v>
      </c>
      <c r="J126" t="inlineStr">
        <is>
          <t>AUD</t>
        </is>
      </c>
      <c r="K126" t="n">
        <v>0</v>
      </c>
      <c r="L126" t="inlineStr">
        <is>
          <t>AUD</t>
        </is>
      </c>
      <c r="M126" t="n">
        <v>0</v>
      </c>
      <c r="N126" t="inlineStr">
        <is>
          <t>AUD</t>
        </is>
      </c>
      <c r="O126" t="n">
        <v>0</v>
      </c>
      <c r="P126" t="inlineStr">
        <is>
          <t>AUD</t>
        </is>
      </c>
      <c r="Q126" t="n">
        <v>30</v>
      </c>
    </row>
    <row r="127">
      <c r="A127" t="inlineStr">
        <is>
          <t>2026-09-24_BHP.AX</t>
        </is>
      </c>
      <c r="B127" t="inlineStr">
        <is>
          <t>BHP</t>
        </is>
      </c>
      <c r="C127" s="5" t="n">
        <v>46289</v>
      </c>
      <c r="D127" t="n">
        <v>163</v>
      </c>
      <c r="F127" t="inlineStr">
        <is>
          <t>LOCAL</t>
        </is>
      </c>
      <c r="G127" t="n">
        <v>0</v>
      </c>
      <c r="H127" t="inlineStr">
        <is>
          <t>AUD</t>
        </is>
      </c>
      <c r="I127" t="n">
        <v>1.379887</v>
      </c>
      <c r="J127" t="inlineStr">
        <is>
          <t>AUD</t>
        </is>
      </c>
      <c r="K127" t="n">
        <v>0</v>
      </c>
      <c r="L127" t="inlineStr">
        <is>
          <t>AUD</t>
        </is>
      </c>
      <c r="M127" t="n">
        <v>0</v>
      </c>
      <c r="N127" t="inlineStr">
        <is>
          <t>AUD</t>
        </is>
      </c>
      <c r="O127" t="n">
        <v>0</v>
      </c>
      <c r="P127" t="inlineStr">
        <is>
          <t>AUD</t>
        </is>
      </c>
      <c r="Q127" t="n">
        <v>30</v>
      </c>
    </row>
  </sheetData>
  <dataValidations count="6">
    <dataValidation sqref="F2:F627" showDropDown="0" showInputMessage="0" showErrorMessage="1" allowBlank="1" errorTitle="Not an allowed value" error="Pick a value for dividend_type from the list." type="list">
      <formula1>'ValueAssistance'!$G$2:$G$3</formula1>
    </dataValidation>
    <dataValidation sqref="H2:H627" showDropDown="0" showInputMessage="0" showErrorMessage="1" allowBlank="1" errorTitle="Not an allowed value" error="Pick a value for unfranked_amount_per_share_currency from the list." type="list">
      <formula1>'ValueAssistance'!$B$2:$B$308</formula1>
    </dataValidation>
    <dataValidation sqref="J2:J627" showDropDown="0" showInputMessage="0" showErrorMessage="1" allowBlank="1" errorTitle="Not an allowed value" error="Pick a value for franked_amount_per_share_currency from the list." type="list">
      <formula1>'ValueAssistance'!$B$2:$B$308</formula1>
    </dataValidation>
    <dataValidation sqref="L2:L627" showDropDown="0" showInputMessage="0" showErrorMessage="1" allowBlank="1" errorTitle="Not an allowed value" error="Pick a value for local_withholding_tax_currency from the list." type="list">
      <formula1>'ValueAssistance'!$B$2:$B$308</formula1>
    </dataValidation>
    <dataValidation sqref="N2:N627" showDropDown="0" showInputMessage="0" showErrorMessage="1" allowBlank="1" errorTitle="Not an allowed value" error="Pick a value for foreign_tax_credit_currency from the list." type="list">
      <formula1>'ValueAssistance'!$B$2:$B$308</formula1>
    </dataValidation>
    <dataValidation sqref="P2:P627" showDropDown="0" showInputMessage="0" showErrorMessage="1" allowBlank="1" errorTitle="Not an allowed value" error="Pick a value for lic_capital_gain_currency from the list." type="list">
      <formula1>'ValueAssistance'!$B$2:$B$308</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20.2" customWidth="1" min="1" max="1"/>
    <col width="18.2" customWidth="1" min="2" max="2"/>
    <col width="12.2" customWidth="1" min="3" max="3"/>
    <col width="10.2" customWidth="1" min="4" max="4"/>
    <col width="6.2" customWidth="1" min="5" max="5"/>
    <col width="31.2" customWidth="1" min="6" max="6"/>
    <col width="40.2" customWidth="1" min="7" max="7"/>
    <col width="23.2" customWidth="1" min="8" max="8"/>
    <col width="32.2" customWidth="1" min="9" max="9"/>
    <col width="63.2" customWidth="1" min="10" max="10"/>
  </cols>
  <sheetData>
    <row r="1" ht="32" customHeight="1">
      <c r="A1" s="1" t="inlineStr">
        <is>
          <t>legacy_id</t>
        </is>
      </c>
      <c r="B1" s="1" t="inlineStr">
        <is>
          <t>instrument__name</t>
        </is>
      </c>
      <c r="C1" s="1" t="inlineStr">
        <is>
          <t>date</t>
        </is>
      </c>
      <c r="D1" s="1" t="inlineStr">
        <is>
          <t>quantity</t>
        </is>
      </c>
      <c r="E1" s="1" t="inlineStr">
        <is>
          <t>file</t>
        </is>
      </c>
      <c r="F1" s="1" t="inlineStr">
        <is>
          <t>distribution_amount_per_share</t>
        </is>
      </c>
      <c r="G1" s="1" t="inlineStr">
        <is>
          <t>distribution_amount_per_share_currency</t>
        </is>
      </c>
      <c r="H1" s="1" t="inlineStr">
        <is>
          <t>total_withholding_tax</t>
        </is>
      </c>
      <c r="I1" s="1" t="inlineStr">
        <is>
          <t>total_withholding_tax_currency</t>
        </is>
      </c>
      <c r="J1" s="1" t="inlineStr">
        <is>
          <t>notes</t>
        </is>
      </c>
    </row>
    <row r="2">
      <c r="A2" t="inlineStr">
        <is>
          <t>2016-10-18_VGS.AX</t>
        </is>
      </c>
      <c r="B2" t="inlineStr">
        <is>
          <t>VGS</t>
        </is>
      </c>
      <c r="C2" s="5" t="n">
        <v>42661</v>
      </c>
      <c r="D2" t="n">
        <v>22</v>
      </c>
      <c r="F2" t="n">
        <v>0.247087</v>
      </c>
      <c r="G2" t="inlineStr">
        <is>
          <t>AUD</t>
        </is>
      </c>
      <c r="H2" t="n">
        <v>0.01</v>
      </c>
      <c r="I2" t="inlineStr">
        <is>
          <t>AUD</t>
        </is>
      </c>
      <c r="J2" t="inlineStr">
        <is>
          <t>FAKE DATA - generated for demonstration, not a real portfolio</t>
        </is>
      </c>
    </row>
    <row r="3">
      <c r="A3" t="inlineStr">
        <is>
          <t>2016-10-18_VAS.AX</t>
        </is>
      </c>
      <c r="B3" t="inlineStr">
        <is>
          <t>VAS</t>
        </is>
      </c>
      <c r="C3" s="5" t="n">
        <v>42661</v>
      </c>
      <c r="D3" t="n">
        <v>14</v>
      </c>
      <c r="F3" t="n">
        <v>0.994358</v>
      </c>
      <c r="G3" t="inlineStr">
        <is>
          <t>AUD</t>
        </is>
      </c>
      <c r="H3" t="n">
        <v>0.03</v>
      </c>
      <c r="I3" t="inlineStr">
        <is>
          <t>AUD</t>
        </is>
      </c>
    </row>
    <row r="4">
      <c r="A4" t="inlineStr">
        <is>
          <t>2017-01-17_VGS.AX</t>
        </is>
      </c>
      <c r="B4" t="inlineStr">
        <is>
          <t>VGS</t>
        </is>
      </c>
      <c r="C4" s="5" t="n">
        <v>42752</v>
      </c>
      <c r="D4" t="n">
        <v>86</v>
      </c>
      <c r="F4" t="n">
        <v>0.358562</v>
      </c>
      <c r="G4" t="inlineStr">
        <is>
          <t>AUD</t>
        </is>
      </c>
      <c r="H4" t="n">
        <v>0.04</v>
      </c>
      <c r="I4" t="inlineStr">
        <is>
          <t>AUD</t>
        </is>
      </c>
    </row>
    <row r="5">
      <c r="A5" t="inlineStr">
        <is>
          <t>2017-01-17_VAS.AX</t>
        </is>
      </c>
      <c r="B5" t="inlineStr">
        <is>
          <t>VAS</t>
        </is>
      </c>
      <c r="C5" s="5" t="n">
        <v>42752</v>
      </c>
      <c r="D5" t="n">
        <v>56</v>
      </c>
      <c r="F5" t="n">
        <v>0.930364</v>
      </c>
      <c r="G5" t="inlineStr">
        <is>
          <t>AUD</t>
        </is>
      </c>
      <c r="H5" t="n">
        <v>0.17</v>
      </c>
      <c r="I5" t="inlineStr">
        <is>
          <t>AUD</t>
        </is>
      </c>
    </row>
    <row r="6">
      <c r="A6" t="inlineStr">
        <is>
          <t>2017-04-17_VGS.AX</t>
        </is>
      </c>
      <c r="B6" t="inlineStr">
        <is>
          <t>VGS</t>
        </is>
      </c>
      <c r="C6" s="5" t="n">
        <v>42842</v>
      </c>
      <c r="D6" t="n">
        <v>160</v>
      </c>
      <c r="F6" t="n">
        <v>0.264939</v>
      </c>
      <c r="G6" t="inlineStr">
        <is>
          <t>AUD</t>
        </is>
      </c>
      <c r="H6" t="n">
        <v>0.14</v>
      </c>
      <c r="I6" t="inlineStr">
        <is>
          <t>AUD</t>
        </is>
      </c>
    </row>
    <row r="7">
      <c r="A7" t="inlineStr">
        <is>
          <t>2017-04-17_VAS.AX</t>
        </is>
      </c>
      <c r="B7" t="inlineStr">
        <is>
          <t>VAS</t>
        </is>
      </c>
      <c r="C7" s="5" t="n">
        <v>42842</v>
      </c>
      <c r="D7" t="n">
        <v>105</v>
      </c>
      <c r="F7" t="n">
        <v>0.550688</v>
      </c>
      <c r="G7" t="inlineStr">
        <is>
          <t>AUD</t>
        </is>
      </c>
      <c r="H7" t="n">
        <v>0.22</v>
      </c>
      <c r="I7" t="inlineStr">
        <is>
          <t>AUD</t>
        </is>
      </c>
    </row>
    <row r="8">
      <c r="A8" t="inlineStr">
        <is>
          <t>2017-07-17_VGS.AX</t>
        </is>
      </c>
      <c r="B8" t="inlineStr">
        <is>
          <t>VGS</t>
        </is>
      </c>
      <c r="C8" s="5" t="n">
        <v>42933</v>
      </c>
      <c r="D8" t="n">
        <v>235</v>
      </c>
      <c r="F8" t="n">
        <v>1.006588</v>
      </c>
      <c r="G8" t="inlineStr">
        <is>
          <t>AUD</t>
        </is>
      </c>
      <c r="H8" t="n">
        <v>0.6899999999999999</v>
      </c>
      <c r="I8" t="inlineStr">
        <is>
          <t>AUD</t>
        </is>
      </c>
    </row>
    <row r="9">
      <c r="A9" t="inlineStr">
        <is>
          <t>2017-07-17_VAS.AX</t>
        </is>
      </c>
      <c r="B9" t="inlineStr">
        <is>
          <t>VAS</t>
        </is>
      </c>
      <c r="C9" s="5" t="n">
        <v>42933</v>
      </c>
      <c r="D9" t="n">
        <v>155</v>
      </c>
      <c r="F9" t="n">
        <v>0.461387</v>
      </c>
      <c r="G9" t="inlineStr">
        <is>
          <t>AUD</t>
        </is>
      </c>
      <c r="H9" t="n">
        <v>0.08</v>
      </c>
      <c r="I9" t="inlineStr">
        <is>
          <t>AUD</t>
        </is>
      </c>
    </row>
    <row r="10">
      <c r="A10" t="inlineStr">
        <is>
          <t>2017-10-16_VGS.AX</t>
        </is>
      </c>
      <c r="B10" t="inlineStr">
        <is>
          <t>VGS</t>
        </is>
      </c>
      <c r="C10" s="5" t="n">
        <v>43024</v>
      </c>
      <c r="D10" t="n">
        <v>317</v>
      </c>
      <c r="F10" t="n">
        <v>0.239648</v>
      </c>
      <c r="G10" t="inlineStr">
        <is>
          <t>AUD</t>
        </is>
      </c>
      <c r="H10" t="n">
        <v>0.15</v>
      </c>
      <c r="I10" t="inlineStr">
        <is>
          <t>AUD</t>
        </is>
      </c>
    </row>
    <row r="11">
      <c r="A11" t="inlineStr">
        <is>
          <t>2017-10-16_VAS.AX</t>
        </is>
      </c>
      <c r="B11" t="inlineStr">
        <is>
          <t>VAS</t>
        </is>
      </c>
      <c r="C11" s="5" t="n">
        <v>43024</v>
      </c>
      <c r="D11" t="n">
        <v>210</v>
      </c>
      <c r="F11" t="n">
        <v>0.983422</v>
      </c>
      <c r="G11" t="inlineStr">
        <is>
          <t>AUD</t>
        </is>
      </c>
      <c r="H11" t="n">
        <v>0.03</v>
      </c>
      <c r="I11" t="inlineStr">
        <is>
          <t>AUD</t>
        </is>
      </c>
    </row>
    <row r="12">
      <c r="A12" t="inlineStr">
        <is>
          <t>2018-01-16_VGS.AX</t>
        </is>
      </c>
      <c r="B12" t="inlineStr">
        <is>
          <t>VGS</t>
        </is>
      </c>
      <c r="C12" s="5" t="n">
        <v>43116</v>
      </c>
      <c r="D12" t="n">
        <v>369</v>
      </c>
      <c r="F12" t="n">
        <v>0.304192</v>
      </c>
      <c r="G12" t="inlineStr">
        <is>
          <t>AUD</t>
        </is>
      </c>
      <c r="H12" t="n">
        <v>0.39</v>
      </c>
      <c r="I12" t="inlineStr">
        <is>
          <t>AUD</t>
        </is>
      </c>
    </row>
    <row r="13">
      <c r="A13" t="inlineStr">
        <is>
          <t>2018-01-16_VAS.AX</t>
        </is>
      </c>
      <c r="B13" t="inlineStr">
        <is>
          <t>VAS</t>
        </is>
      </c>
      <c r="C13" s="5" t="n">
        <v>43116</v>
      </c>
      <c r="D13" t="n">
        <v>247</v>
      </c>
      <c r="F13" t="n">
        <v>0.682118</v>
      </c>
      <c r="G13" t="inlineStr">
        <is>
          <t>AUD</t>
        </is>
      </c>
      <c r="H13" t="n">
        <v>0.3</v>
      </c>
      <c r="I13" t="inlineStr">
        <is>
          <t>AUD</t>
        </is>
      </c>
    </row>
    <row r="14">
      <c r="A14" t="inlineStr">
        <is>
          <t>2018-04-17_VGS.AX</t>
        </is>
      </c>
      <c r="B14" t="inlineStr">
        <is>
          <t>VGS</t>
        </is>
      </c>
      <c r="C14" s="5" t="n">
        <v>43207</v>
      </c>
      <c r="D14" t="n">
        <v>445</v>
      </c>
      <c r="F14" t="n">
        <v>0.215727</v>
      </c>
      <c r="G14" t="inlineStr">
        <is>
          <t>AUD</t>
        </is>
      </c>
      <c r="H14" t="n">
        <v>0.24</v>
      </c>
      <c r="I14" t="inlineStr">
        <is>
          <t>AUD</t>
        </is>
      </c>
    </row>
    <row r="15">
      <c r="A15" t="inlineStr">
        <is>
          <t>2018-04-17_VAS.AX</t>
        </is>
      </c>
      <c r="B15" t="inlineStr">
        <is>
          <t>VAS</t>
        </is>
      </c>
      <c r="C15" s="5" t="n">
        <v>43207</v>
      </c>
      <c r="D15" t="n">
        <v>301</v>
      </c>
      <c r="F15" t="n">
        <v>0.649641</v>
      </c>
      <c r="G15" t="inlineStr">
        <is>
          <t>AUD</t>
        </is>
      </c>
      <c r="H15" t="n">
        <v>0.63</v>
      </c>
      <c r="I15" t="inlineStr">
        <is>
          <t>AUD</t>
        </is>
      </c>
    </row>
    <row r="16">
      <c r="A16" t="inlineStr">
        <is>
          <t>2018-07-16_VGS.AX</t>
        </is>
      </c>
      <c r="B16" t="inlineStr">
        <is>
          <t>VGS</t>
        </is>
      </c>
      <c r="C16" s="5" t="n">
        <v>43297</v>
      </c>
      <c r="D16" t="n">
        <v>499</v>
      </c>
      <c r="F16" t="n">
        <v>0.9278189999999999</v>
      </c>
      <c r="G16" t="inlineStr">
        <is>
          <t>AUD</t>
        </is>
      </c>
      <c r="H16" t="n">
        <v>1.8</v>
      </c>
      <c r="I16" t="inlineStr">
        <is>
          <t>AUD</t>
        </is>
      </c>
    </row>
    <row r="17">
      <c r="A17" t="inlineStr">
        <is>
          <t>2018-07-16_A200.AX</t>
        </is>
      </c>
      <c r="B17" t="inlineStr">
        <is>
          <t>A200</t>
        </is>
      </c>
      <c r="C17" s="5" t="n">
        <v>43297</v>
      </c>
      <c r="D17" t="n">
        <v>8</v>
      </c>
      <c r="F17" t="n">
        <v>0.20213</v>
      </c>
      <c r="G17" t="inlineStr">
        <is>
          <t>AUD</t>
        </is>
      </c>
      <c r="H17" t="n">
        <v>0</v>
      </c>
      <c r="I17" t="inlineStr">
        <is>
          <t>AUD</t>
        </is>
      </c>
    </row>
    <row r="18">
      <c r="A18" t="inlineStr">
        <is>
          <t>2018-07-16_VAS.AX</t>
        </is>
      </c>
      <c r="B18" t="inlineStr">
        <is>
          <t>VAS</t>
        </is>
      </c>
      <c r="C18" s="5" t="n">
        <v>43297</v>
      </c>
      <c r="D18" t="n">
        <v>328</v>
      </c>
      <c r="F18" t="n">
        <v>1.035617</v>
      </c>
      <c r="G18" t="inlineStr">
        <is>
          <t>AUD</t>
        </is>
      </c>
      <c r="H18" t="n">
        <v>1.3</v>
      </c>
      <c r="I18" t="inlineStr">
        <is>
          <t>AUD</t>
        </is>
      </c>
    </row>
    <row r="19">
      <c r="A19" t="inlineStr">
        <is>
          <t>2018-10-15_VGS.AX</t>
        </is>
      </c>
      <c r="B19" t="inlineStr">
        <is>
          <t>VGS</t>
        </is>
      </c>
      <c r="C19" s="5" t="n">
        <v>43388</v>
      </c>
      <c r="D19" t="n">
        <v>569</v>
      </c>
      <c r="F19" t="n">
        <v>0.305294</v>
      </c>
      <c r="G19" t="inlineStr">
        <is>
          <t>AUD</t>
        </is>
      </c>
      <c r="H19" t="n">
        <v>0.34</v>
      </c>
      <c r="I19" t="inlineStr">
        <is>
          <t>AUD</t>
        </is>
      </c>
    </row>
    <row r="20">
      <c r="A20" t="inlineStr">
        <is>
          <t>2018-10-15_A200.AX</t>
        </is>
      </c>
      <c r="B20" t="inlineStr">
        <is>
          <t>A200</t>
        </is>
      </c>
      <c r="C20" s="5" t="n">
        <v>43388</v>
      </c>
      <c r="D20" t="n">
        <v>47</v>
      </c>
      <c r="F20" t="n">
        <v>1.097834</v>
      </c>
      <c r="G20" t="inlineStr">
        <is>
          <t>AUD</t>
        </is>
      </c>
      <c r="H20" t="n">
        <v>0.07000000000000001</v>
      </c>
      <c r="I20" t="inlineStr">
        <is>
          <t>AUD</t>
        </is>
      </c>
    </row>
    <row r="21">
      <c r="A21" t="inlineStr">
        <is>
          <t>2018-10-15_VAS.AX</t>
        </is>
      </c>
      <c r="B21" t="inlineStr">
        <is>
          <t>VAS</t>
        </is>
      </c>
      <c r="C21" s="5" t="n">
        <v>43388</v>
      </c>
      <c r="D21" t="n">
        <v>328</v>
      </c>
      <c r="F21" t="n">
        <v>1.135101</v>
      </c>
      <c r="G21" t="inlineStr">
        <is>
          <t>AUD</t>
        </is>
      </c>
      <c r="H21" t="n">
        <v>0.8100000000000001</v>
      </c>
      <c r="I21" t="inlineStr">
        <is>
          <t>AUD</t>
        </is>
      </c>
    </row>
    <row r="22">
      <c r="A22" t="inlineStr">
        <is>
          <t>2019-01-16_VGS.AX</t>
        </is>
      </c>
      <c r="B22" t="inlineStr">
        <is>
          <t>VGS</t>
        </is>
      </c>
      <c r="C22" s="5" t="n">
        <v>43481</v>
      </c>
      <c r="D22" t="n">
        <v>632</v>
      </c>
      <c r="F22" t="n">
        <v>0.394046</v>
      </c>
      <c r="G22" t="inlineStr">
        <is>
          <t>AUD</t>
        </is>
      </c>
      <c r="H22" t="n">
        <v>0.36</v>
      </c>
      <c r="I22" t="inlineStr">
        <is>
          <t>AUD</t>
        </is>
      </c>
    </row>
    <row r="23">
      <c r="A23" t="inlineStr">
        <is>
          <t>2019-01-16_A200.AX</t>
        </is>
      </c>
      <c r="B23" t="inlineStr">
        <is>
          <t>A200</t>
        </is>
      </c>
      <c r="C23" s="5" t="n">
        <v>43481</v>
      </c>
      <c r="D23" t="n">
        <v>83</v>
      </c>
      <c r="F23" t="n">
        <v>0.677545</v>
      </c>
      <c r="G23" t="inlineStr">
        <is>
          <t>AUD</t>
        </is>
      </c>
      <c r="H23" t="n">
        <v>0.16</v>
      </c>
      <c r="I23" t="inlineStr">
        <is>
          <t>AUD</t>
        </is>
      </c>
    </row>
    <row r="24">
      <c r="A24" t="inlineStr">
        <is>
          <t>2019-01-16_VAS.AX</t>
        </is>
      </c>
      <c r="B24" t="inlineStr">
        <is>
          <t>VAS</t>
        </is>
      </c>
      <c r="C24" s="5" t="n">
        <v>43481</v>
      </c>
      <c r="D24" t="n">
        <v>328</v>
      </c>
      <c r="F24" t="n">
        <v>0.69582</v>
      </c>
      <c r="G24" t="inlineStr">
        <is>
          <t>AUD</t>
        </is>
      </c>
      <c r="H24" t="n">
        <v>0.29</v>
      </c>
      <c r="I24" t="inlineStr">
        <is>
          <t>AUD</t>
        </is>
      </c>
    </row>
    <row r="25">
      <c r="A25" t="inlineStr">
        <is>
          <t>2019-04-15_VGS.AX</t>
        </is>
      </c>
      <c r="B25" t="inlineStr">
        <is>
          <t>VGS</t>
        </is>
      </c>
      <c r="C25" s="5" t="n">
        <v>43570</v>
      </c>
      <c r="D25" t="n">
        <v>696</v>
      </c>
      <c r="F25" t="n">
        <v>0.471838</v>
      </c>
      <c r="G25" t="inlineStr">
        <is>
          <t>AUD</t>
        </is>
      </c>
      <c r="H25" t="n">
        <v>0.74</v>
      </c>
      <c r="I25" t="inlineStr">
        <is>
          <t>AUD</t>
        </is>
      </c>
    </row>
    <row r="26">
      <c r="A26" t="inlineStr">
        <is>
          <t>2019-04-15_A200.AX</t>
        </is>
      </c>
      <c r="B26" t="inlineStr">
        <is>
          <t>A200</t>
        </is>
      </c>
      <c r="C26" s="5" t="n">
        <v>43570</v>
      </c>
      <c r="D26" t="n">
        <v>118</v>
      </c>
      <c r="F26" t="n">
        <v>0.930579</v>
      </c>
      <c r="G26" t="inlineStr">
        <is>
          <t>AUD</t>
        </is>
      </c>
      <c r="H26" t="n">
        <v>0.14</v>
      </c>
      <c r="I26" t="inlineStr">
        <is>
          <t>AUD</t>
        </is>
      </c>
    </row>
    <row r="27">
      <c r="A27" t="inlineStr">
        <is>
          <t>2019-04-15_VAS.AX</t>
        </is>
      </c>
      <c r="B27" t="inlineStr">
        <is>
          <t>VAS</t>
        </is>
      </c>
      <c r="C27" s="5" t="n">
        <v>43570</v>
      </c>
      <c r="D27" t="n">
        <v>131</v>
      </c>
      <c r="F27" t="n">
        <v>0.889916</v>
      </c>
      <c r="G27" t="inlineStr">
        <is>
          <t>AUD</t>
        </is>
      </c>
      <c r="H27" t="n">
        <v>0.18</v>
      </c>
      <c r="I27" t="inlineStr">
        <is>
          <t>AUD</t>
        </is>
      </c>
    </row>
    <row r="28">
      <c r="A28" t="inlineStr">
        <is>
          <t>2019-07-15_VGS.AX</t>
        </is>
      </c>
      <c r="B28" t="inlineStr">
        <is>
          <t>VGS</t>
        </is>
      </c>
      <c r="C28" s="5" t="n">
        <v>43661</v>
      </c>
      <c r="D28" t="n">
        <v>761</v>
      </c>
      <c r="F28" t="n">
        <v>0.742723</v>
      </c>
      <c r="G28" t="inlineStr">
        <is>
          <t>AUD</t>
        </is>
      </c>
      <c r="H28" t="n">
        <v>1.72</v>
      </c>
      <c r="I28" t="inlineStr">
        <is>
          <t>AUD</t>
        </is>
      </c>
    </row>
    <row r="29">
      <c r="A29" t="inlineStr">
        <is>
          <t>2019-07-15_A200.AX</t>
        </is>
      </c>
      <c r="B29" t="inlineStr">
        <is>
          <t>A200</t>
        </is>
      </c>
      <c r="C29" s="5" t="n">
        <v>43661</v>
      </c>
      <c r="D29" t="n">
        <v>154</v>
      </c>
      <c r="F29" t="n">
        <v>1.092549</v>
      </c>
      <c r="G29" t="inlineStr">
        <is>
          <t>AUD</t>
        </is>
      </c>
      <c r="H29" t="n">
        <v>0.34</v>
      </c>
      <c r="I29" t="inlineStr">
        <is>
          <t>AUD</t>
        </is>
      </c>
    </row>
    <row r="30">
      <c r="A30" t="inlineStr">
        <is>
          <t>2019-07-15_VAS.AX</t>
        </is>
      </c>
      <c r="B30" t="inlineStr">
        <is>
          <t>VAS</t>
        </is>
      </c>
      <c r="C30" s="5" t="n">
        <v>43661</v>
      </c>
      <c r="D30" t="n">
        <v>131</v>
      </c>
      <c r="F30" t="n">
        <v>0.805009</v>
      </c>
      <c r="G30" t="inlineStr">
        <is>
          <t>AUD</t>
        </is>
      </c>
      <c r="H30" t="n">
        <v>0.36</v>
      </c>
      <c r="I30" t="inlineStr">
        <is>
          <t>AUD</t>
        </is>
      </c>
    </row>
    <row r="31">
      <c r="A31" t="inlineStr">
        <is>
          <t>2019-10-15_VGS.AX</t>
        </is>
      </c>
      <c r="B31" t="inlineStr">
        <is>
          <t>VGS</t>
        </is>
      </c>
      <c r="C31" s="5" t="n">
        <v>43753</v>
      </c>
      <c r="D31" t="n">
        <v>826</v>
      </c>
      <c r="F31" t="n">
        <v>0.380133</v>
      </c>
      <c r="G31" t="inlineStr">
        <is>
          <t>AUD</t>
        </is>
      </c>
      <c r="H31" t="n">
        <v>1.21</v>
      </c>
      <c r="I31" t="inlineStr">
        <is>
          <t>AUD</t>
        </is>
      </c>
    </row>
    <row r="32">
      <c r="A32" t="inlineStr">
        <is>
          <t>2019-10-15_A200.AX</t>
        </is>
      </c>
      <c r="B32" t="inlineStr">
        <is>
          <t>A200</t>
        </is>
      </c>
      <c r="C32" s="5" t="n">
        <v>43753</v>
      </c>
      <c r="D32" t="n">
        <v>190</v>
      </c>
      <c r="F32" t="n">
        <v>1.398613</v>
      </c>
      <c r="G32" t="inlineStr">
        <is>
          <t>AUD</t>
        </is>
      </c>
      <c r="H32" t="n">
        <v>0.1</v>
      </c>
      <c r="I32" t="inlineStr">
        <is>
          <t>AUD</t>
        </is>
      </c>
    </row>
    <row r="33">
      <c r="A33" t="inlineStr">
        <is>
          <t>2020-01-16_VGS.AX</t>
        </is>
      </c>
      <c r="B33" t="inlineStr">
        <is>
          <t>VGS</t>
        </is>
      </c>
      <c r="C33" s="5" t="n">
        <v>43846</v>
      </c>
      <c r="D33" t="n">
        <v>884</v>
      </c>
      <c r="F33" t="n">
        <v>0.451612</v>
      </c>
      <c r="G33" t="inlineStr">
        <is>
          <t>AUD</t>
        </is>
      </c>
      <c r="H33" t="n">
        <v>1.39</v>
      </c>
      <c r="I33" t="inlineStr">
        <is>
          <t>AUD</t>
        </is>
      </c>
    </row>
    <row r="34">
      <c r="A34" t="inlineStr">
        <is>
          <t>2020-01-16_A200.AX</t>
        </is>
      </c>
      <c r="B34" t="inlineStr">
        <is>
          <t>A200</t>
        </is>
      </c>
      <c r="C34" s="5" t="n">
        <v>43846</v>
      </c>
      <c r="D34" t="n">
        <v>223</v>
      </c>
      <c r="F34" t="n">
        <v>1.152568</v>
      </c>
      <c r="G34" t="inlineStr">
        <is>
          <t>AUD</t>
        </is>
      </c>
      <c r="H34" t="n">
        <v>0.21</v>
      </c>
      <c r="I34" t="inlineStr">
        <is>
          <t>AUD</t>
        </is>
      </c>
    </row>
    <row r="35">
      <c r="A35" t="inlineStr">
        <is>
          <t>2020-04-15_VGS.AX</t>
        </is>
      </c>
      <c r="B35" t="inlineStr">
        <is>
          <t>VGS</t>
        </is>
      </c>
      <c r="C35" s="5" t="n">
        <v>43936</v>
      </c>
      <c r="D35" t="n">
        <v>934</v>
      </c>
      <c r="F35" t="n">
        <v>0.457803</v>
      </c>
      <c r="G35" t="inlineStr">
        <is>
          <t>AUD</t>
        </is>
      </c>
      <c r="H35" t="n">
        <v>1.58</v>
      </c>
      <c r="I35" t="inlineStr">
        <is>
          <t>AUD</t>
        </is>
      </c>
    </row>
    <row r="36">
      <c r="A36" t="inlineStr">
        <is>
          <t>2020-04-15_A200.AX</t>
        </is>
      </c>
      <c r="B36" t="inlineStr">
        <is>
          <t>A200</t>
        </is>
      </c>
      <c r="C36" s="5" t="n">
        <v>43936</v>
      </c>
      <c r="D36" t="n">
        <v>253</v>
      </c>
      <c r="F36" t="n">
        <v>0.432706</v>
      </c>
      <c r="G36" t="inlineStr">
        <is>
          <t>AUD</t>
        </is>
      </c>
      <c r="H36" t="n">
        <v>0.11</v>
      </c>
      <c r="I36" t="inlineStr">
        <is>
          <t>AUD</t>
        </is>
      </c>
    </row>
    <row r="37">
      <c r="A37" t="inlineStr">
        <is>
          <t>2020-07-15_VGS.AX</t>
        </is>
      </c>
      <c r="B37" t="inlineStr">
        <is>
          <t>VGS</t>
        </is>
      </c>
      <c r="C37" s="5" t="n">
        <v>44027</v>
      </c>
      <c r="D37" t="n">
        <v>986</v>
      </c>
      <c r="F37" t="n">
        <v>0.653833</v>
      </c>
      <c r="G37" t="inlineStr">
        <is>
          <t>AUD</t>
        </is>
      </c>
      <c r="H37" t="n">
        <v>0.07000000000000001</v>
      </c>
      <c r="I37" t="inlineStr">
        <is>
          <t>AUD</t>
        </is>
      </c>
    </row>
    <row r="38">
      <c r="A38" t="inlineStr">
        <is>
          <t>2020-07-15_A200.AX</t>
        </is>
      </c>
      <c r="B38" t="inlineStr">
        <is>
          <t>A200</t>
        </is>
      </c>
      <c r="C38" s="5" t="n">
        <v>44027</v>
      </c>
      <c r="D38" t="n">
        <v>286</v>
      </c>
      <c r="F38" t="n">
        <v>0.579681</v>
      </c>
      <c r="G38" t="inlineStr">
        <is>
          <t>AUD</t>
        </is>
      </c>
      <c r="H38" t="n">
        <v>0.33</v>
      </c>
      <c r="I38" t="inlineStr">
        <is>
          <t>AUD</t>
        </is>
      </c>
    </row>
    <row r="39">
      <c r="A39" t="inlineStr">
        <is>
          <t>2020-10-15_VGS.AX</t>
        </is>
      </c>
      <c r="B39" t="inlineStr">
        <is>
          <t>VGS</t>
        </is>
      </c>
      <c r="C39" s="5" t="n">
        <v>44119</v>
      </c>
      <c r="D39" t="n">
        <v>1040</v>
      </c>
      <c r="F39" t="n">
        <v>0.339639</v>
      </c>
      <c r="G39" t="inlineStr">
        <is>
          <t>AUD</t>
        </is>
      </c>
      <c r="H39" t="n">
        <v>0.61</v>
      </c>
      <c r="I39" t="inlineStr">
        <is>
          <t>AUD</t>
        </is>
      </c>
    </row>
    <row r="40">
      <c r="A40" t="inlineStr">
        <is>
          <t>2020-10-15_A200.AX</t>
        </is>
      </c>
      <c r="B40" t="inlineStr">
        <is>
          <t>A200</t>
        </is>
      </c>
      <c r="C40" s="5" t="n">
        <v>44119</v>
      </c>
      <c r="D40" t="n">
        <v>320</v>
      </c>
      <c r="F40" t="n">
        <v>0.674859</v>
      </c>
      <c r="G40" t="inlineStr">
        <is>
          <t>AUD</t>
        </is>
      </c>
      <c r="H40" t="n">
        <v>0.46</v>
      </c>
      <c r="I40" t="inlineStr">
        <is>
          <t>AUD</t>
        </is>
      </c>
    </row>
    <row r="41">
      <c r="A41" t="inlineStr">
        <is>
          <t>2021-01-18_VGS.AX</t>
        </is>
      </c>
      <c r="B41" t="inlineStr">
        <is>
          <t>VGS</t>
        </is>
      </c>
      <c r="C41" s="5" t="n">
        <v>44214</v>
      </c>
      <c r="D41" t="n">
        <v>1097</v>
      </c>
      <c r="F41" t="n">
        <v>0.411962</v>
      </c>
      <c r="G41" t="inlineStr">
        <is>
          <t>AUD</t>
        </is>
      </c>
      <c r="H41" t="n">
        <v>0.23</v>
      </c>
      <c r="I41" t="inlineStr">
        <is>
          <t>AUD</t>
        </is>
      </c>
    </row>
    <row r="42">
      <c r="A42" t="inlineStr">
        <is>
          <t>2021-01-18_A200.AX</t>
        </is>
      </c>
      <c r="B42" t="inlineStr">
        <is>
          <t>A200</t>
        </is>
      </c>
      <c r="C42" s="5" t="n">
        <v>44214</v>
      </c>
      <c r="D42" t="n">
        <v>355</v>
      </c>
      <c r="F42" t="n">
        <v>0.637842</v>
      </c>
      <c r="G42" t="inlineStr">
        <is>
          <t>AUD</t>
        </is>
      </c>
      <c r="H42" t="n">
        <v>0.65</v>
      </c>
      <c r="I42" t="inlineStr">
        <is>
          <t>AUD</t>
        </is>
      </c>
    </row>
    <row r="43">
      <c r="A43" t="inlineStr">
        <is>
          <t>2021-04-15_VGS.AX</t>
        </is>
      </c>
      <c r="B43" t="inlineStr">
        <is>
          <t>VGS</t>
        </is>
      </c>
      <c r="C43" s="5" t="n">
        <v>44301</v>
      </c>
      <c r="D43" t="n">
        <v>1149</v>
      </c>
      <c r="F43" t="n">
        <v>0.310117</v>
      </c>
      <c r="G43" t="inlineStr">
        <is>
          <t>AUD</t>
        </is>
      </c>
      <c r="H43" t="n">
        <v>1.23</v>
      </c>
      <c r="I43" t="inlineStr">
        <is>
          <t>AUD</t>
        </is>
      </c>
    </row>
    <row r="44">
      <c r="A44" t="inlineStr">
        <is>
          <t>2021-04-15_A200.AX</t>
        </is>
      </c>
      <c r="B44" t="inlineStr">
        <is>
          <t>A200</t>
        </is>
      </c>
      <c r="C44" s="5" t="n">
        <v>44301</v>
      </c>
      <c r="D44" t="n">
        <v>387</v>
      </c>
      <c r="F44" t="n">
        <v>0.8895380000000001</v>
      </c>
      <c r="G44" t="inlineStr">
        <is>
          <t>AUD</t>
        </is>
      </c>
      <c r="H44" t="n">
        <v>0.5</v>
      </c>
      <c r="I44" t="inlineStr">
        <is>
          <t>AUD</t>
        </is>
      </c>
    </row>
    <row r="45">
      <c r="A45" t="inlineStr">
        <is>
          <t>2021-07-15_VGS.AX</t>
        </is>
      </c>
      <c r="B45" t="inlineStr">
        <is>
          <t>VGS</t>
        </is>
      </c>
      <c r="C45" s="5" t="n">
        <v>44392</v>
      </c>
      <c r="D45" t="n">
        <v>1194</v>
      </c>
      <c r="F45" t="n">
        <v>0.826481</v>
      </c>
      <c r="G45" t="inlineStr">
        <is>
          <t>AUD</t>
        </is>
      </c>
      <c r="H45" t="n">
        <v>2.83</v>
      </c>
      <c r="I45" t="inlineStr">
        <is>
          <t>AUD</t>
        </is>
      </c>
    </row>
    <row r="46">
      <c r="A46" t="inlineStr">
        <is>
          <t>2021-07-15_A200.AX</t>
        </is>
      </c>
      <c r="B46" t="inlineStr">
        <is>
          <t>A200</t>
        </is>
      </c>
      <c r="C46" s="5" t="n">
        <v>44392</v>
      </c>
      <c r="D46" t="n">
        <v>414</v>
      </c>
      <c r="F46" t="n">
        <v>0.555612</v>
      </c>
      <c r="G46" t="inlineStr">
        <is>
          <t>AUD</t>
        </is>
      </c>
      <c r="H46" t="n">
        <v>0.28</v>
      </c>
      <c r="I46" t="inlineStr">
        <is>
          <t>AUD</t>
        </is>
      </c>
    </row>
    <row r="47">
      <c r="A47" t="inlineStr">
        <is>
          <t>2021-10-15_VGS.AX</t>
        </is>
      </c>
      <c r="B47" t="inlineStr">
        <is>
          <t>VGS</t>
        </is>
      </c>
      <c r="C47" s="5" t="n">
        <v>44484</v>
      </c>
      <c r="D47" t="n">
        <v>1243</v>
      </c>
      <c r="F47" t="n">
        <v>0.335126</v>
      </c>
      <c r="G47" t="inlineStr">
        <is>
          <t>AUD</t>
        </is>
      </c>
      <c r="H47" t="n">
        <v>1.13</v>
      </c>
      <c r="I47" t="inlineStr">
        <is>
          <t>AUD</t>
        </is>
      </c>
    </row>
    <row r="48">
      <c r="A48" t="inlineStr">
        <is>
          <t>2021-10-15_A200.AX</t>
        </is>
      </c>
      <c r="B48" t="inlineStr">
        <is>
          <t>A200</t>
        </is>
      </c>
      <c r="C48" s="5" t="n">
        <v>44484</v>
      </c>
      <c r="D48" t="n">
        <v>445</v>
      </c>
      <c r="F48" t="n">
        <v>1.723499</v>
      </c>
      <c r="G48" t="inlineStr">
        <is>
          <t>AUD</t>
        </is>
      </c>
      <c r="H48" t="n">
        <v>2.87</v>
      </c>
      <c r="I48" t="inlineStr">
        <is>
          <t>AUD</t>
        </is>
      </c>
    </row>
    <row r="49">
      <c r="A49" t="inlineStr">
        <is>
          <t>2022-01-18_VGS.AX</t>
        </is>
      </c>
      <c r="B49" t="inlineStr">
        <is>
          <t>VGS</t>
        </is>
      </c>
      <c r="C49" s="5" t="n">
        <v>44579</v>
      </c>
      <c r="D49" t="n">
        <v>1286</v>
      </c>
      <c r="F49" t="n">
        <v>0.440394</v>
      </c>
      <c r="G49" t="inlineStr">
        <is>
          <t>AUD</t>
        </is>
      </c>
      <c r="H49" t="n">
        <v>0.82</v>
      </c>
      <c r="I49" t="inlineStr">
        <is>
          <t>AUD</t>
        </is>
      </c>
    </row>
    <row r="50">
      <c r="A50" t="inlineStr">
        <is>
          <t>2022-01-18_A200.AX</t>
        </is>
      </c>
      <c r="B50" t="inlineStr">
        <is>
          <t>A200</t>
        </is>
      </c>
      <c r="C50" s="5" t="n">
        <v>44579</v>
      </c>
      <c r="D50" t="n">
        <v>474</v>
      </c>
      <c r="F50" t="n">
        <v>0.788341</v>
      </c>
      <c r="G50" t="inlineStr">
        <is>
          <t>AUD</t>
        </is>
      </c>
      <c r="H50" t="n">
        <v>0.72</v>
      </c>
      <c r="I50" t="inlineStr">
        <is>
          <t>AUD</t>
        </is>
      </c>
    </row>
    <row r="51">
      <c r="A51" t="inlineStr">
        <is>
          <t>2022-04-15_VGS.AX</t>
        </is>
      </c>
      <c r="B51" t="inlineStr">
        <is>
          <t>VGS</t>
        </is>
      </c>
      <c r="C51" s="5" t="n">
        <v>44666</v>
      </c>
      <c r="D51" t="n">
        <v>1317</v>
      </c>
      <c r="F51" t="n">
        <v>0.411413</v>
      </c>
      <c r="G51" t="inlineStr">
        <is>
          <t>AUD</t>
        </is>
      </c>
      <c r="H51" t="n">
        <v>1.15</v>
      </c>
      <c r="I51" t="inlineStr">
        <is>
          <t>AUD</t>
        </is>
      </c>
    </row>
    <row r="52">
      <c r="A52" t="inlineStr">
        <is>
          <t>2022-04-15_A200.AX</t>
        </is>
      </c>
      <c r="B52" t="inlineStr">
        <is>
          <t>A200</t>
        </is>
      </c>
      <c r="C52" s="5" t="n">
        <v>44666</v>
      </c>
      <c r="D52" t="n">
        <v>493</v>
      </c>
      <c r="F52" t="n">
        <v>1.327435</v>
      </c>
      <c r="G52" t="inlineStr">
        <is>
          <t>AUD</t>
        </is>
      </c>
      <c r="H52" t="n">
        <v>0.55</v>
      </c>
      <c r="I52" t="inlineStr">
        <is>
          <t>AUD</t>
        </is>
      </c>
    </row>
    <row r="53">
      <c r="A53" t="inlineStr">
        <is>
          <t>2022-07-15_VGS.AX</t>
        </is>
      </c>
      <c r="B53" t="inlineStr">
        <is>
          <t>VGS</t>
        </is>
      </c>
      <c r="C53" s="5" t="n">
        <v>44757</v>
      </c>
      <c r="D53" t="n">
        <v>1356</v>
      </c>
      <c r="F53" t="n">
        <v>0.5557800000000001</v>
      </c>
      <c r="G53" t="inlineStr">
        <is>
          <t>AUD</t>
        </is>
      </c>
      <c r="H53" t="n">
        <v>0.57</v>
      </c>
      <c r="I53" t="inlineStr">
        <is>
          <t>AUD</t>
        </is>
      </c>
    </row>
    <row r="54">
      <c r="A54" t="inlineStr">
        <is>
          <t>2022-07-15_A200.AX</t>
        </is>
      </c>
      <c r="B54" t="inlineStr">
        <is>
          <t>A200</t>
        </is>
      </c>
      <c r="C54" s="5" t="n">
        <v>44757</v>
      </c>
      <c r="D54" t="n">
        <v>517</v>
      </c>
      <c r="F54" t="n">
        <v>3.459284</v>
      </c>
      <c r="G54" t="inlineStr">
        <is>
          <t>AUD</t>
        </is>
      </c>
      <c r="H54" t="n">
        <v>5.41</v>
      </c>
      <c r="I54" t="inlineStr">
        <is>
          <t>AUD</t>
        </is>
      </c>
    </row>
    <row r="55">
      <c r="A55" t="inlineStr">
        <is>
          <t>2022-10-17_VGS.AX</t>
        </is>
      </c>
      <c r="B55" t="inlineStr">
        <is>
          <t>VGS</t>
        </is>
      </c>
      <c r="C55" s="5" t="n">
        <v>44851</v>
      </c>
      <c r="D55" t="n">
        <v>1409</v>
      </c>
      <c r="F55" t="n">
        <v>0.350563</v>
      </c>
      <c r="G55" t="inlineStr">
        <is>
          <t>AUD</t>
        </is>
      </c>
      <c r="H55" t="n">
        <v>1.39</v>
      </c>
      <c r="I55" t="inlineStr">
        <is>
          <t>AUD</t>
        </is>
      </c>
    </row>
    <row r="56">
      <c r="A56" t="inlineStr">
        <is>
          <t>2022-10-17_A200.AX</t>
        </is>
      </c>
      <c r="B56" t="inlineStr">
        <is>
          <t>A200</t>
        </is>
      </c>
      <c r="C56" s="5" t="n">
        <v>44851</v>
      </c>
      <c r="D56" t="n">
        <v>552</v>
      </c>
      <c r="F56" t="n">
        <v>1.864947</v>
      </c>
      <c r="G56" t="inlineStr">
        <is>
          <t>AUD</t>
        </is>
      </c>
      <c r="H56" t="n">
        <v>2.8</v>
      </c>
      <c r="I56" t="inlineStr">
        <is>
          <t>AUD</t>
        </is>
      </c>
    </row>
    <row r="57">
      <c r="A57" t="inlineStr">
        <is>
          <t>2023-01-17_VGS.AX</t>
        </is>
      </c>
      <c r="B57" t="inlineStr">
        <is>
          <t>VGS</t>
        </is>
      </c>
      <c r="C57" s="5" t="n">
        <v>44943</v>
      </c>
      <c r="D57" t="n">
        <v>1459</v>
      </c>
      <c r="F57" t="n">
        <v>0.297149</v>
      </c>
      <c r="G57" t="inlineStr">
        <is>
          <t>AUD</t>
        </is>
      </c>
      <c r="H57" t="n">
        <v>0.25</v>
      </c>
      <c r="I57" t="inlineStr">
        <is>
          <t>AUD</t>
        </is>
      </c>
    </row>
    <row r="58">
      <c r="A58" t="inlineStr">
        <is>
          <t>2023-01-17_A200.AX</t>
        </is>
      </c>
      <c r="B58" t="inlineStr">
        <is>
          <t>A200</t>
        </is>
      </c>
      <c r="C58" s="5" t="n">
        <v>44943</v>
      </c>
      <c r="D58" t="n">
        <v>585</v>
      </c>
      <c r="F58" t="n">
        <v>1.106212</v>
      </c>
      <c r="G58" t="inlineStr">
        <is>
          <t>AUD</t>
        </is>
      </c>
      <c r="H58" t="n">
        <v>0.3</v>
      </c>
      <c r="I58" t="inlineStr">
        <is>
          <t>AUD</t>
        </is>
      </c>
    </row>
    <row r="59">
      <c r="A59" t="inlineStr">
        <is>
          <t>2023-04-17_VGS.AX</t>
        </is>
      </c>
      <c r="B59" t="inlineStr">
        <is>
          <t>VGS</t>
        </is>
      </c>
      <c r="C59" s="5" t="n">
        <v>45033</v>
      </c>
      <c r="D59" t="n">
        <v>1505</v>
      </c>
      <c r="F59" t="n">
        <v>0.228212</v>
      </c>
      <c r="G59" t="inlineStr">
        <is>
          <t>AUD</t>
        </is>
      </c>
      <c r="H59" t="n">
        <v>1.1</v>
      </c>
      <c r="I59" t="inlineStr">
        <is>
          <t>AUD</t>
        </is>
      </c>
    </row>
    <row r="60">
      <c r="A60" t="inlineStr">
        <is>
          <t>2023-04-17_A200.AX</t>
        </is>
      </c>
      <c r="B60" t="inlineStr">
        <is>
          <t>A200</t>
        </is>
      </c>
      <c r="C60" s="5" t="n">
        <v>45033</v>
      </c>
      <c r="D60" t="n">
        <v>613</v>
      </c>
      <c r="F60" t="n">
        <v>1.133724</v>
      </c>
      <c r="G60" t="inlineStr">
        <is>
          <t>AUD</t>
        </is>
      </c>
      <c r="H60" t="n">
        <v>1.21</v>
      </c>
      <c r="I60" t="inlineStr">
        <is>
          <t>AUD</t>
        </is>
      </c>
    </row>
    <row r="61">
      <c r="A61" t="inlineStr">
        <is>
          <t>2023-07-17_VGS.AX</t>
        </is>
      </c>
      <c r="B61" t="inlineStr">
        <is>
          <t>VGS</t>
        </is>
      </c>
      <c r="C61" s="5" t="n">
        <v>45124</v>
      </c>
      <c r="D61" t="n">
        <v>1552</v>
      </c>
      <c r="F61" t="n">
        <v>1.121456</v>
      </c>
      <c r="G61" t="inlineStr">
        <is>
          <t>AUD</t>
        </is>
      </c>
      <c r="H61" t="n">
        <v>5.58</v>
      </c>
      <c r="I61" t="inlineStr">
        <is>
          <t>AUD</t>
        </is>
      </c>
    </row>
    <row r="62">
      <c r="A62" t="inlineStr">
        <is>
          <t>2023-07-17_A200.AX</t>
        </is>
      </c>
      <c r="B62" t="inlineStr">
        <is>
          <t>A200</t>
        </is>
      </c>
      <c r="C62" s="5" t="n">
        <v>45124</v>
      </c>
      <c r="D62" t="n">
        <v>644</v>
      </c>
      <c r="F62" t="n">
        <v>0.81635</v>
      </c>
      <c r="G62" t="inlineStr">
        <is>
          <t>AUD</t>
        </is>
      </c>
      <c r="H62" t="n">
        <v>2.03</v>
      </c>
      <c r="I62" t="inlineStr">
        <is>
          <t>AUD</t>
        </is>
      </c>
    </row>
    <row r="63">
      <c r="A63" t="inlineStr">
        <is>
          <t>2023-10-16_VGS.AX</t>
        </is>
      </c>
      <c r="B63" t="inlineStr">
        <is>
          <t>VGS</t>
        </is>
      </c>
      <c r="C63" s="5" t="n">
        <v>45215</v>
      </c>
      <c r="D63" t="n">
        <v>1588</v>
      </c>
      <c r="F63" t="n">
        <v>0.686644</v>
      </c>
      <c r="G63" t="inlineStr">
        <is>
          <t>AUD</t>
        </is>
      </c>
      <c r="H63" t="n">
        <v>1.22</v>
      </c>
      <c r="I63" t="inlineStr">
        <is>
          <t>AUD</t>
        </is>
      </c>
    </row>
    <row r="64">
      <c r="A64" t="inlineStr">
        <is>
          <t>2023-10-16_A200.AX</t>
        </is>
      </c>
      <c r="B64" t="inlineStr">
        <is>
          <t>A200</t>
        </is>
      </c>
      <c r="C64" s="5" t="n">
        <v>45215</v>
      </c>
      <c r="D64" t="n">
        <v>671</v>
      </c>
      <c r="F64" t="n">
        <v>1.705417</v>
      </c>
      <c r="G64" t="inlineStr">
        <is>
          <t>AUD</t>
        </is>
      </c>
      <c r="H64" t="n">
        <v>2.5</v>
      </c>
      <c r="I64" t="inlineStr">
        <is>
          <t>AUD</t>
        </is>
      </c>
    </row>
    <row r="65">
      <c r="A65" t="inlineStr">
        <is>
          <t>2024-01-16_VGS.AX</t>
        </is>
      </c>
      <c r="B65" t="inlineStr">
        <is>
          <t>VGS</t>
        </is>
      </c>
      <c r="C65" s="5" t="n">
        <v>45307</v>
      </c>
      <c r="D65" t="n">
        <v>1631</v>
      </c>
      <c r="F65" t="n">
        <v>0.546335</v>
      </c>
      <c r="G65" t="inlineStr">
        <is>
          <t>AUD</t>
        </is>
      </c>
      <c r="H65" t="n">
        <v>2.92</v>
      </c>
      <c r="I65" t="inlineStr">
        <is>
          <t>AUD</t>
        </is>
      </c>
    </row>
    <row r="66">
      <c r="A66" t="inlineStr">
        <is>
          <t>2024-01-16_A200.AX</t>
        </is>
      </c>
      <c r="B66" t="inlineStr">
        <is>
          <t>A200</t>
        </is>
      </c>
      <c r="C66" s="5" t="n">
        <v>45307</v>
      </c>
      <c r="D66" t="n">
        <v>703</v>
      </c>
      <c r="F66" t="n">
        <v>1.030676</v>
      </c>
      <c r="G66" t="inlineStr">
        <is>
          <t>AUD</t>
        </is>
      </c>
      <c r="H66" t="n">
        <v>2.6</v>
      </c>
      <c r="I66" t="inlineStr">
        <is>
          <t>AUD</t>
        </is>
      </c>
    </row>
    <row r="67">
      <c r="A67" t="inlineStr">
        <is>
          <t>2024-04-16_VGS.AX</t>
        </is>
      </c>
      <c r="B67" t="inlineStr">
        <is>
          <t>VGS</t>
        </is>
      </c>
      <c r="C67" s="5" t="n">
        <v>45398</v>
      </c>
      <c r="D67" t="n">
        <v>1669</v>
      </c>
      <c r="F67" t="n">
        <v>0.9812</v>
      </c>
      <c r="G67" t="inlineStr">
        <is>
          <t>AUD</t>
        </is>
      </c>
      <c r="H67" t="n">
        <v>6.31</v>
      </c>
      <c r="I67" t="inlineStr">
        <is>
          <t>AUD</t>
        </is>
      </c>
    </row>
    <row r="68">
      <c r="A68" t="inlineStr">
        <is>
          <t>2024-04-16_A200.AX</t>
        </is>
      </c>
      <c r="B68" t="inlineStr">
        <is>
          <t>A200</t>
        </is>
      </c>
      <c r="C68" s="5" t="n">
        <v>45398</v>
      </c>
      <c r="D68" t="n">
        <v>731</v>
      </c>
      <c r="F68" t="n">
        <v>1.095719</v>
      </c>
      <c r="G68" t="inlineStr">
        <is>
          <t>AUD</t>
        </is>
      </c>
      <c r="H68" t="n">
        <v>0.86</v>
      </c>
      <c r="I68" t="inlineStr">
        <is>
          <t>AUD</t>
        </is>
      </c>
    </row>
    <row r="69">
      <c r="A69" t="inlineStr">
        <is>
          <t>2024-07-15_VGS.AX</t>
        </is>
      </c>
      <c r="B69" t="inlineStr">
        <is>
          <t>VGS</t>
        </is>
      </c>
      <c r="C69" s="5" t="n">
        <v>45488</v>
      </c>
      <c r="D69" t="n">
        <v>1694</v>
      </c>
      <c r="F69" t="n">
        <v>2.206526</v>
      </c>
      <c r="G69" t="inlineStr">
        <is>
          <t>AUD</t>
        </is>
      </c>
      <c r="H69" t="n">
        <v>1.91</v>
      </c>
      <c r="I69" t="inlineStr">
        <is>
          <t>AUD</t>
        </is>
      </c>
    </row>
    <row r="70">
      <c r="A70" t="inlineStr">
        <is>
          <t>2024-07-15_A200.AX</t>
        </is>
      </c>
      <c r="B70" t="inlineStr">
        <is>
          <t>A200</t>
        </is>
      </c>
      <c r="C70" s="5" t="n">
        <v>45488</v>
      </c>
      <c r="D70" t="n">
        <v>749</v>
      </c>
      <c r="F70" t="n">
        <v>0.910076</v>
      </c>
      <c r="G70" t="inlineStr">
        <is>
          <t>AUD</t>
        </is>
      </c>
      <c r="H70" t="n">
        <v>1.09</v>
      </c>
      <c r="I70" t="inlineStr">
        <is>
          <t>AUD</t>
        </is>
      </c>
    </row>
    <row r="71">
      <c r="A71" t="inlineStr">
        <is>
          <t>2024-10-15_VGS.AX</t>
        </is>
      </c>
      <c r="B71" t="inlineStr">
        <is>
          <t>VGS</t>
        </is>
      </c>
      <c r="C71" s="5" t="n">
        <v>45580</v>
      </c>
      <c r="D71" t="n">
        <v>1722</v>
      </c>
      <c r="F71" t="n">
        <v>0.281353</v>
      </c>
      <c r="G71" t="inlineStr">
        <is>
          <t>AUD</t>
        </is>
      </c>
      <c r="H71" t="n">
        <v>1.34</v>
      </c>
      <c r="I71" t="inlineStr">
        <is>
          <t>AUD</t>
        </is>
      </c>
    </row>
    <row r="72">
      <c r="A72" t="inlineStr">
        <is>
          <t>2024-10-15_A200.AX</t>
        </is>
      </c>
      <c r="B72" t="inlineStr">
        <is>
          <t>A200</t>
        </is>
      </c>
      <c r="C72" s="5" t="n">
        <v>45580</v>
      </c>
      <c r="D72" t="n">
        <v>771</v>
      </c>
      <c r="F72" t="n">
        <v>1.255944</v>
      </c>
      <c r="G72" t="inlineStr">
        <is>
          <t>AUD</t>
        </is>
      </c>
      <c r="H72" t="n">
        <v>1.78</v>
      </c>
      <c r="I72" t="inlineStr">
        <is>
          <t>AUD</t>
        </is>
      </c>
    </row>
    <row r="73">
      <c r="A73" t="inlineStr">
        <is>
          <t>2025-01-16_VGS.AX</t>
        </is>
      </c>
      <c r="B73" t="inlineStr">
        <is>
          <t>VGS</t>
        </is>
      </c>
      <c r="C73" s="5" t="n">
        <v>45673</v>
      </c>
      <c r="D73" t="n">
        <v>1752</v>
      </c>
      <c r="F73" t="n">
        <v>0.727587</v>
      </c>
      <c r="G73" t="inlineStr">
        <is>
          <t>AUD</t>
        </is>
      </c>
      <c r="H73" t="n">
        <v>3.47</v>
      </c>
      <c r="I73" t="inlineStr">
        <is>
          <t>AUD</t>
        </is>
      </c>
    </row>
    <row r="74">
      <c r="A74" t="inlineStr">
        <is>
          <t>2025-01-16_A200.AX</t>
        </is>
      </c>
      <c r="B74" t="inlineStr">
        <is>
          <t>A200</t>
        </is>
      </c>
      <c r="C74" s="5" t="n">
        <v>45673</v>
      </c>
      <c r="D74" t="n">
        <v>794</v>
      </c>
      <c r="F74" t="n">
        <v>1.362294</v>
      </c>
      <c r="G74" t="inlineStr">
        <is>
          <t>AUD</t>
        </is>
      </c>
      <c r="H74" t="n">
        <v>1.53</v>
      </c>
      <c r="I74" t="inlineStr">
        <is>
          <t>AUD</t>
        </is>
      </c>
    </row>
    <row r="75">
      <c r="A75" t="inlineStr">
        <is>
          <t>2025-04-15_VGS.AX</t>
        </is>
      </c>
      <c r="B75" t="inlineStr">
        <is>
          <t>VGS</t>
        </is>
      </c>
      <c r="C75" s="5" t="n">
        <v>45762</v>
      </c>
      <c r="D75" t="n">
        <v>1773</v>
      </c>
      <c r="F75" t="n">
        <v>1.462689</v>
      </c>
      <c r="G75" t="inlineStr">
        <is>
          <t>AUD</t>
        </is>
      </c>
      <c r="H75" t="n">
        <v>6.46</v>
      </c>
      <c r="I75" t="inlineStr">
        <is>
          <t>AUD</t>
        </is>
      </c>
    </row>
    <row r="76">
      <c r="A76" t="inlineStr">
        <is>
          <t>2025-04-15_A200.AX</t>
        </is>
      </c>
      <c r="B76" t="inlineStr">
        <is>
          <t>A200</t>
        </is>
      </c>
      <c r="C76" s="5" t="n">
        <v>45762</v>
      </c>
      <c r="D76" t="n">
        <v>811</v>
      </c>
      <c r="F76" t="n">
        <v>0.909415</v>
      </c>
      <c r="G76" t="inlineStr">
        <is>
          <t>AUD</t>
        </is>
      </c>
      <c r="H76" t="n">
        <v>0.32</v>
      </c>
      <c r="I76" t="inlineStr">
        <is>
          <t>AUD</t>
        </is>
      </c>
    </row>
    <row r="77">
      <c r="A77" t="inlineStr">
        <is>
          <t>2025-07-15_VGS.AX</t>
        </is>
      </c>
      <c r="B77" t="inlineStr">
        <is>
          <t>VGS</t>
        </is>
      </c>
      <c r="C77" s="5" t="n">
        <v>45853</v>
      </c>
      <c r="D77" t="n">
        <v>1802</v>
      </c>
      <c r="F77" t="n">
        <v>1.310342</v>
      </c>
      <c r="G77" t="inlineStr">
        <is>
          <t>AUD</t>
        </is>
      </c>
      <c r="H77" t="n">
        <v>9.039999999999999</v>
      </c>
      <c r="I77" t="inlineStr">
        <is>
          <t>AUD</t>
        </is>
      </c>
    </row>
    <row r="78">
      <c r="A78" t="inlineStr">
        <is>
          <t>2025-07-15_A200.AX</t>
        </is>
      </c>
      <c r="B78" t="inlineStr">
        <is>
          <t>A200</t>
        </is>
      </c>
      <c r="C78" s="5" t="n">
        <v>45853</v>
      </c>
      <c r="D78" t="n">
        <v>833</v>
      </c>
      <c r="F78" t="n">
        <v>1.052786</v>
      </c>
      <c r="G78" t="inlineStr">
        <is>
          <t>AUD</t>
        </is>
      </c>
      <c r="H78" t="n">
        <v>0.78</v>
      </c>
      <c r="I78" t="inlineStr">
        <is>
          <t>AUD</t>
        </is>
      </c>
    </row>
    <row r="79">
      <c r="A79" t="inlineStr">
        <is>
          <t>2025-10-15_VGS.AX</t>
        </is>
      </c>
      <c r="B79" t="inlineStr">
        <is>
          <t>VGS</t>
        </is>
      </c>
      <c r="C79" s="5" t="n">
        <v>45945</v>
      </c>
      <c r="D79" t="n">
        <v>1822</v>
      </c>
      <c r="F79" t="n">
        <v>0.364894</v>
      </c>
      <c r="G79" t="inlineStr">
        <is>
          <t>AUD</t>
        </is>
      </c>
      <c r="H79" t="n">
        <v>1.37</v>
      </c>
      <c r="I79" t="inlineStr">
        <is>
          <t>AUD</t>
        </is>
      </c>
    </row>
    <row r="80">
      <c r="A80" t="inlineStr">
        <is>
          <t>2025-10-15_A200.AX</t>
        </is>
      </c>
      <c r="B80" t="inlineStr">
        <is>
          <t>A200</t>
        </is>
      </c>
      <c r="C80" s="5" t="n">
        <v>45945</v>
      </c>
      <c r="D80" t="n">
        <v>849</v>
      </c>
      <c r="F80" t="n">
        <v>1.505534</v>
      </c>
      <c r="G80" t="inlineStr">
        <is>
          <t>AUD</t>
        </is>
      </c>
      <c r="H80" t="n">
        <v>1.93</v>
      </c>
      <c r="I80" t="inlineStr">
        <is>
          <t>AUD</t>
        </is>
      </c>
    </row>
    <row r="81">
      <c r="A81" t="inlineStr">
        <is>
          <t>2026-01-16_VGS.AX</t>
        </is>
      </c>
      <c r="B81" t="inlineStr">
        <is>
          <t>VGS</t>
        </is>
      </c>
      <c r="C81" s="5" t="n">
        <v>46038</v>
      </c>
      <c r="D81" t="n">
        <v>1852</v>
      </c>
      <c r="F81" t="n">
        <v>0.484595</v>
      </c>
      <c r="G81" t="inlineStr">
        <is>
          <t>AUD</t>
        </is>
      </c>
      <c r="H81" t="n">
        <v>0.33</v>
      </c>
      <c r="I81" t="inlineStr">
        <is>
          <t>AUD</t>
        </is>
      </c>
    </row>
    <row r="82">
      <c r="A82" t="inlineStr">
        <is>
          <t>2026-01-16_A200.AX</t>
        </is>
      </c>
      <c r="B82" t="inlineStr">
        <is>
          <t>A200</t>
        </is>
      </c>
      <c r="C82" s="5" t="n">
        <v>46038</v>
      </c>
      <c r="D82" t="n">
        <v>875</v>
      </c>
      <c r="F82" t="n">
        <v>1.162844</v>
      </c>
      <c r="G82" t="inlineStr">
        <is>
          <t>AUD</t>
        </is>
      </c>
      <c r="H82" t="n">
        <v>0.2</v>
      </c>
      <c r="I82" t="inlineStr">
        <is>
          <t>AUD</t>
        </is>
      </c>
    </row>
    <row r="83">
      <c r="A83" t="inlineStr">
        <is>
          <t>2026-04-15_VGS.AX</t>
        </is>
      </c>
      <c r="B83" t="inlineStr">
        <is>
          <t>VGS</t>
        </is>
      </c>
      <c r="C83" s="5" t="n">
        <v>46127</v>
      </c>
      <c r="D83" t="n">
        <v>1883</v>
      </c>
      <c r="F83" t="n">
        <v>0.398397</v>
      </c>
      <c r="G83" t="inlineStr">
        <is>
          <t>AUD</t>
        </is>
      </c>
      <c r="H83" t="n">
        <v>1.22</v>
      </c>
      <c r="I83" t="inlineStr">
        <is>
          <t>AUD</t>
        </is>
      </c>
    </row>
    <row r="84">
      <c r="A84" t="inlineStr">
        <is>
          <t>2026-04-15_A200.AX</t>
        </is>
      </c>
      <c r="B84" t="inlineStr">
        <is>
          <t>A200</t>
        </is>
      </c>
      <c r="C84" s="5" t="n">
        <v>46127</v>
      </c>
      <c r="D84" t="n">
        <v>900</v>
      </c>
      <c r="F84" t="n">
        <v>1.210187</v>
      </c>
      <c r="G84" t="inlineStr">
        <is>
          <t>AUD</t>
        </is>
      </c>
      <c r="H84" t="n">
        <v>2.44</v>
      </c>
      <c r="I84" t="inlineStr">
        <is>
          <t>AUD</t>
        </is>
      </c>
    </row>
    <row r="85">
      <c r="A85" t="inlineStr">
        <is>
          <t>2026-07-15_VGS.AX</t>
        </is>
      </c>
      <c r="B85" t="inlineStr">
        <is>
          <t>VGS</t>
        </is>
      </c>
      <c r="C85" s="5" t="n">
        <v>46218</v>
      </c>
      <c r="D85" t="n">
        <v>1911</v>
      </c>
      <c r="F85" t="n">
        <v>0.81904</v>
      </c>
      <c r="G85" t="inlineStr">
        <is>
          <t>AUD</t>
        </is>
      </c>
      <c r="H85" t="n">
        <v>0.91</v>
      </c>
      <c r="I85" t="inlineStr">
        <is>
          <t>AUD</t>
        </is>
      </c>
    </row>
    <row r="86">
      <c r="A86" t="inlineStr">
        <is>
          <t>2026-07-15_A200.AX</t>
        </is>
      </c>
      <c r="B86" t="inlineStr">
        <is>
          <t>A200</t>
        </is>
      </c>
      <c r="C86" s="5" t="n">
        <v>46218</v>
      </c>
      <c r="D86" t="n">
        <v>923</v>
      </c>
      <c r="F86" t="n">
        <v>0.996897</v>
      </c>
      <c r="G86" t="inlineStr">
        <is>
          <t>AUD</t>
        </is>
      </c>
      <c r="H86" t="n">
        <v>3.56</v>
      </c>
      <c r="I86" t="inlineStr">
        <is>
          <t>AUD</t>
        </is>
      </c>
    </row>
  </sheetData>
  <dataValidations count="2">
    <dataValidation sqref="G2:G586" showDropDown="0" showInputMessage="0" showErrorMessage="1" allowBlank="1" errorTitle="Not an allowed value" error="Pick a value for distribution_amount_per_share_currency from the list." type="list">
      <formula1>'ValueAssistance'!$B$2:$B$308</formula1>
    </dataValidation>
    <dataValidation sqref="I2:I586" showDropDown="0" showInputMessage="0" showErrorMessage="1" allowBlank="1" errorTitle="Not an allowed value" error="Pick a value for total_withholding_tax_currency from the list." type="list">
      <formula1>'ValueAssistance'!$B$2:$B$308</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A6A6A6"/>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1.2" customWidth="1" min="1" max="1"/>
    <col width="32.2" customWidth="1" min="2" max="2"/>
    <col width="10.2" customWidth="1" min="3" max="3"/>
    <col width="12.2" customWidth="1" min="4" max="4"/>
    <col width="10.2" customWidth="1" min="5" max="5"/>
    <col width="18.2" customWidth="1" min="6" max="6"/>
    <col width="63.2" customWidth="1" min="7" max="7"/>
  </cols>
  <sheetData>
    <row r="1" ht="32" customHeight="1">
      <c r="A1" s="1" t="inlineStr">
        <is>
          <t>legacy_id</t>
        </is>
      </c>
      <c r="B1" s="1" t="inlineStr">
        <is>
          <t>description</t>
        </is>
      </c>
      <c r="C1" s="1" t="inlineStr">
        <is>
          <t>status</t>
        </is>
      </c>
      <c r="D1" s="1" t="inlineStr">
        <is>
          <t>start_date</t>
        </is>
      </c>
      <c r="E1" s="1" t="inlineStr">
        <is>
          <t>end_date</t>
        </is>
      </c>
      <c r="F1" s="1" t="inlineStr">
        <is>
          <t>i1_election_made</t>
        </is>
      </c>
      <c r="G1" s="1" t="inlineStr">
        <is>
          <t>notes</t>
        </is>
      </c>
    </row>
    <row r="2">
      <c r="A2" t="inlineStr">
        <is>
          <t>R001</t>
        </is>
      </c>
      <c r="B2" t="inlineStr">
        <is>
          <t>Australian resident throughout</t>
        </is>
      </c>
      <c r="C2" t="inlineStr">
        <is>
          <t>RESIDENT</t>
        </is>
      </c>
      <c r="D2" s="5" t="n">
        <v>42644</v>
      </c>
      <c r="G2" t="inlineStr">
        <is>
          <t>FAKE DATA - generated for demonstration, not a real portfolio</t>
        </is>
      </c>
    </row>
  </sheetData>
  <dataValidations count="2">
    <dataValidation sqref="C2:C502" showDropDown="0" showInputMessage="0" showErrorMessage="1" allowBlank="1" errorTitle="Not an allowed value" error="Pick a value for status from the list." type="list">
      <formula1>'ValueAssistance'!$H$2:$H$4</formula1>
    </dataValidation>
    <dataValidation sqref="F2:F502" showDropDown="0" showInputMessage="0" showErrorMessage="1" allowBlank="1" errorTitle="Not an allowed value" error="Pick a value for i1_election_made from the list." type="list">
      <formula1>'ValueAssistance'!$A$2:$A$3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A6A6A6"/>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1.2" customWidth="1" min="1" max="1"/>
    <col width="13.2" customWidth="1" min="2" max="2"/>
    <col width="18.2" customWidth="1" min="3" max="3"/>
    <col width="16.2" customWidth="1" min="4" max="4"/>
    <col width="12.2" customWidth="1" min="5" max="5"/>
    <col width="21.2" customWidth="1" min="6" max="6"/>
    <col width="9.199999999999999" customWidth="1" min="7" max="7"/>
    <col width="8.199999999999999" customWidth="1" min="8" max="8"/>
    <col width="7.2" customWidth="1" min="9" max="9"/>
  </cols>
  <sheetData>
    <row r="1" ht="32" customHeight="1">
      <c r="A1" s="1" t="inlineStr">
        <is>
          <t>legacy_id</t>
        </is>
      </c>
      <c r="B1" s="1" t="inlineStr">
        <is>
          <t>description</t>
        </is>
      </c>
      <c r="C1" s="1" t="inlineStr">
        <is>
          <t>instrument__name</t>
        </is>
      </c>
      <c r="D1" s="1" t="inlineStr">
        <is>
          <t>valuation_date</t>
        </is>
      </c>
      <c r="E1" s="1" t="inlineStr">
        <is>
          <t>unit_value</t>
        </is>
      </c>
      <c r="F1" s="1" t="inlineStr">
        <is>
          <t>unit_value_currency</t>
        </is>
      </c>
      <c r="G1" s="1" t="inlineStr">
        <is>
          <t>purpose</t>
        </is>
      </c>
      <c r="H1" s="1" t="inlineStr">
        <is>
          <t>source</t>
        </is>
      </c>
      <c r="I1" s="1" t="inlineStr">
        <is>
          <t>notes</t>
        </is>
      </c>
    </row>
  </sheetData>
  <dataValidations count="3">
    <dataValidation sqref="F2:F502" showDropDown="0" showInputMessage="0" showErrorMessage="1" allowBlank="1" errorTitle="Not an allowed value" error="Pick a value for unit_value_currency from the list." type="list">
      <formula1>'ValueAssistance'!$B$2:$B$308</formula1>
    </dataValidation>
    <dataValidation sqref="G2:G502" showDropDown="0" showInputMessage="0" showErrorMessage="1" allowBlank="1" errorTitle="Not an allowed value" error="Pick a value for purpose from the list." type="list">
      <formula1>'ValueAssistance'!$I$2:$I$6</formula1>
    </dataValidation>
    <dataValidation sqref="H2:H502" showDropDown="0" showInputMessage="0" showErrorMessage="1" allowBlank="1" errorTitle="Not an allowed value" error="Pick a value for source from the list." type="list">
      <formula1>'ValueAssistance'!$J$2:$J$5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A6A6A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1.2" customWidth="1" min="1" max="1"/>
    <col width="13.2" customWidth="1" min="2" max="2"/>
    <col width="25.2" customWidth="1" min="3" max="3"/>
    <col width="8.199999999999999" customWidth="1" min="4" max="4"/>
    <col width="17.2" customWidth="1" min="5" max="5"/>
    <col width="20.2" customWidth="1" min="6" max="6"/>
    <col width="7.2" customWidth="1" min="7" max="7"/>
  </cols>
  <sheetData>
    <row r="1" ht="32" customHeight="1">
      <c r="A1" s="1" t="inlineStr">
        <is>
          <t>legacy_id</t>
        </is>
      </c>
      <c r="B1" s="1" t="inlineStr">
        <is>
          <t>description</t>
        </is>
      </c>
      <c r="C1" s="1" t="inlineStr">
        <is>
          <t>financial_year_end_date</t>
        </is>
      </c>
      <c r="D1" s="1" t="inlineStr">
        <is>
          <t>amount</t>
        </is>
      </c>
      <c r="E1" s="1" t="inlineStr">
        <is>
          <t>amount_currency</t>
        </is>
      </c>
      <c r="F1" s="1" t="inlineStr">
        <is>
          <t>is_opening_balance</t>
        </is>
      </c>
      <c r="G1" s="1" t="inlineStr">
        <is>
          <t>notes</t>
        </is>
      </c>
    </row>
  </sheetData>
  <dataValidations count="2">
    <dataValidation sqref="E2:E502" showDropDown="0" showInputMessage="0" showErrorMessage="1" allowBlank="1" errorTitle="Not an allowed value" error="Pick a value for amount_currency from the list." type="list">
      <formula1>'ValueAssistance'!$B$2:$B$308</formula1>
    </dataValidation>
    <dataValidation sqref="F2:F502" showDropDown="0" showInputMessage="0" showErrorMessage="1" allowBlank="1" errorTitle="Not an allowed value" error="Pick a value for is_opening_balance from the list." type="list">
      <formula1>'ValueAssistance'!$A$2:$A$3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A6A6A6"/>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1.2" customWidth="1" min="1" max="1"/>
    <col width="13.2" customWidth="1" min="2" max="2"/>
    <col width="18.2" customWidth="1" min="3" max="3"/>
    <col width="25.2" customWidth="1" min="4" max="4"/>
    <col width="6.2" customWidth="1" min="5" max="5"/>
    <col width="33.2" customWidth="1" min="6" max="6"/>
    <col width="26.2" customWidth="1" min="7" max="7"/>
    <col width="63.2" customWidth="1" min="8" max="8"/>
  </cols>
  <sheetData>
    <row r="1" ht="32" customHeight="1">
      <c r="A1" s="1" t="inlineStr">
        <is>
          <t>legacy_id</t>
        </is>
      </c>
      <c r="B1" s="1" t="inlineStr">
        <is>
          <t>description</t>
        </is>
      </c>
      <c r="C1" s="1" t="inlineStr">
        <is>
          <t>instrument__name</t>
        </is>
      </c>
      <c r="D1" s="1" t="inlineStr">
        <is>
          <t>financial_year_end_date</t>
        </is>
      </c>
      <c r="E1" s="1" t="inlineStr">
        <is>
          <t>file</t>
        </is>
      </c>
      <c r="F1" s="1" t="inlineStr">
        <is>
          <t>gain_subject_to_mit_withholding</t>
        </is>
      </c>
      <c r="G1" s="1" t="inlineStr">
        <is>
          <t>lookup_legacy_adjustment</t>
        </is>
      </c>
      <c r="H1" s="1" t="inlineStr">
        <is>
          <t>notes</t>
        </is>
      </c>
    </row>
    <row r="2">
      <c r="A2" t="inlineStr">
        <is>
          <t>AS001</t>
        </is>
      </c>
      <c r="C2" t="inlineStr">
        <is>
          <t>VAS</t>
        </is>
      </c>
      <c r="D2" s="5" t="n">
        <v>42916</v>
      </c>
      <c r="G2" t="inlineStr">
        <is>
          <t>A001</t>
        </is>
      </c>
      <c r="H2" t="inlineStr">
        <is>
          <t>FAKE DATA - generated for demonstration, not a real portfolio</t>
        </is>
      </c>
    </row>
    <row r="3">
      <c r="A3" t="inlineStr">
        <is>
          <t>AS002</t>
        </is>
      </c>
      <c r="C3" t="inlineStr">
        <is>
          <t>VGS</t>
        </is>
      </c>
      <c r="D3" s="5" t="n">
        <v>42916</v>
      </c>
      <c r="G3" t="inlineStr">
        <is>
          <t>A002</t>
        </is>
      </c>
    </row>
    <row r="4">
      <c r="A4" t="inlineStr">
        <is>
          <t>AS003</t>
        </is>
      </c>
      <c r="C4" t="inlineStr">
        <is>
          <t>VAS</t>
        </is>
      </c>
      <c r="D4" s="5" t="n">
        <v>43281</v>
      </c>
      <c r="G4" t="inlineStr">
        <is>
          <t>A003</t>
        </is>
      </c>
    </row>
    <row r="5">
      <c r="A5" t="inlineStr">
        <is>
          <t>AS004</t>
        </is>
      </c>
      <c r="C5" t="inlineStr">
        <is>
          <t>VGS</t>
        </is>
      </c>
      <c r="D5" s="5" t="n">
        <v>43281</v>
      </c>
      <c r="G5" t="inlineStr">
        <is>
          <t>A004</t>
        </is>
      </c>
    </row>
    <row r="6">
      <c r="A6" t="inlineStr">
        <is>
          <t>AS005</t>
        </is>
      </c>
      <c r="C6" t="inlineStr">
        <is>
          <t>A200</t>
        </is>
      </c>
      <c r="D6" s="5" t="n">
        <v>43646</v>
      </c>
      <c r="G6" t="inlineStr">
        <is>
          <t>A005</t>
        </is>
      </c>
    </row>
    <row r="7">
      <c r="A7" t="inlineStr">
        <is>
          <t>AS006</t>
        </is>
      </c>
      <c r="C7" t="inlineStr">
        <is>
          <t>VAS</t>
        </is>
      </c>
      <c r="D7" s="5" t="n">
        <v>43646</v>
      </c>
      <c r="G7" t="inlineStr">
        <is>
          <t>A006</t>
        </is>
      </c>
    </row>
    <row r="8">
      <c r="A8" t="inlineStr">
        <is>
          <t>AS007</t>
        </is>
      </c>
      <c r="C8" t="inlineStr">
        <is>
          <t>VGS</t>
        </is>
      </c>
      <c r="D8" s="5" t="n">
        <v>43646</v>
      </c>
      <c r="G8" t="inlineStr">
        <is>
          <t>A007</t>
        </is>
      </c>
    </row>
    <row r="9">
      <c r="A9" t="inlineStr">
        <is>
          <t>AS008</t>
        </is>
      </c>
      <c r="C9" t="inlineStr">
        <is>
          <t>A200</t>
        </is>
      </c>
      <c r="D9" s="5" t="n">
        <v>44012</v>
      </c>
      <c r="G9" t="inlineStr">
        <is>
          <t>A008</t>
        </is>
      </c>
    </row>
    <row r="10">
      <c r="A10" t="inlineStr">
        <is>
          <t>AS009</t>
        </is>
      </c>
      <c r="C10" t="inlineStr">
        <is>
          <t>VAS</t>
        </is>
      </c>
      <c r="D10" s="5" t="n">
        <v>44012</v>
      </c>
    </row>
    <row r="11">
      <c r="A11" t="inlineStr">
        <is>
          <t>AS010</t>
        </is>
      </c>
      <c r="C11" t="inlineStr">
        <is>
          <t>VGS</t>
        </is>
      </c>
      <c r="D11" s="5" t="n">
        <v>44012</v>
      </c>
      <c r="G11" t="inlineStr">
        <is>
          <t>A009</t>
        </is>
      </c>
    </row>
    <row r="12">
      <c r="A12" t="inlineStr">
        <is>
          <t>AS011</t>
        </is>
      </c>
      <c r="C12" t="inlineStr">
        <is>
          <t>A200</t>
        </is>
      </c>
      <c r="D12" s="5" t="n">
        <v>44377</v>
      </c>
      <c r="G12" t="inlineStr">
        <is>
          <t>A010</t>
        </is>
      </c>
    </row>
    <row r="13">
      <c r="A13" t="inlineStr">
        <is>
          <t>AS012</t>
        </is>
      </c>
      <c r="C13" t="inlineStr">
        <is>
          <t>VGS</t>
        </is>
      </c>
      <c r="D13" s="5" t="n">
        <v>44377</v>
      </c>
      <c r="G13" t="inlineStr">
        <is>
          <t>A011</t>
        </is>
      </c>
    </row>
    <row r="14">
      <c r="A14" t="inlineStr">
        <is>
          <t>AS013</t>
        </is>
      </c>
      <c r="C14" t="inlineStr">
        <is>
          <t>A200</t>
        </is>
      </c>
      <c r="D14" s="5" t="n">
        <v>44742</v>
      </c>
      <c r="G14" t="inlineStr">
        <is>
          <t>A012</t>
        </is>
      </c>
    </row>
    <row r="15">
      <c r="A15" t="inlineStr">
        <is>
          <t>AS014</t>
        </is>
      </c>
      <c r="C15" t="inlineStr">
        <is>
          <t>VGS</t>
        </is>
      </c>
      <c r="D15" s="5" t="n">
        <v>44742</v>
      </c>
      <c r="G15" t="inlineStr">
        <is>
          <t>A013</t>
        </is>
      </c>
    </row>
    <row r="16">
      <c r="A16" t="inlineStr">
        <is>
          <t>AS015</t>
        </is>
      </c>
      <c r="C16" t="inlineStr">
        <is>
          <t>A200</t>
        </is>
      </c>
      <c r="D16" s="5" t="n">
        <v>45107</v>
      </c>
      <c r="G16" t="inlineStr">
        <is>
          <t>A014</t>
        </is>
      </c>
    </row>
    <row r="17">
      <c r="A17" t="inlineStr">
        <is>
          <t>AS016</t>
        </is>
      </c>
      <c r="C17" t="inlineStr">
        <is>
          <t>VGS</t>
        </is>
      </c>
      <c r="D17" s="5" t="n">
        <v>45107</v>
      </c>
      <c r="G17" t="inlineStr">
        <is>
          <t>A015</t>
        </is>
      </c>
    </row>
    <row r="18">
      <c r="A18" t="inlineStr">
        <is>
          <t>AS017</t>
        </is>
      </c>
      <c r="C18" t="inlineStr">
        <is>
          <t>A200</t>
        </is>
      </c>
      <c r="D18" s="5" t="n">
        <v>45473</v>
      </c>
      <c r="G18" t="inlineStr">
        <is>
          <t>A016</t>
        </is>
      </c>
    </row>
    <row r="19">
      <c r="A19" t="inlineStr">
        <is>
          <t>AS018</t>
        </is>
      </c>
      <c r="C19" t="inlineStr">
        <is>
          <t>VGS</t>
        </is>
      </c>
      <c r="D19" s="5" t="n">
        <v>45473</v>
      </c>
      <c r="G19" t="inlineStr">
        <is>
          <t>A017</t>
        </is>
      </c>
    </row>
    <row r="20">
      <c r="A20" t="inlineStr">
        <is>
          <t>AS019</t>
        </is>
      </c>
      <c r="C20" t="inlineStr">
        <is>
          <t>A200</t>
        </is>
      </c>
      <c r="D20" s="5" t="n">
        <v>45838</v>
      </c>
      <c r="G20" t="inlineStr">
        <is>
          <t>A018</t>
        </is>
      </c>
    </row>
    <row r="21">
      <c r="A21" t="inlineStr">
        <is>
          <t>AS020</t>
        </is>
      </c>
      <c r="C21" t="inlineStr">
        <is>
          <t>VGS</t>
        </is>
      </c>
      <c r="D21" s="5" t="n">
        <v>45838</v>
      </c>
      <c r="G21" t="inlineStr">
        <is>
          <t>A019</t>
        </is>
      </c>
    </row>
    <row r="22">
      <c r="A22" t="inlineStr">
        <is>
          <t>AS021</t>
        </is>
      </c>
      <c r="C22" t="inlineStr">
        <is>
          <t>A200</t>
        </is>
      </c>
      <c r="D22" s="5" t="n">
        <v>46203</v>
      </c>
      <c r="G22" t="inlineStr">
        <is>
          <t>A020</t>
        </is>
      </c>
    </row>
    <row r="23">
      <c r="A23" t="inlineStr">
        <is>
          <t>AS022</t>
        </is>
      </c>
      <c r="C23" t="inlineStr">
        <is>
          <t>VGS</t>
        </is>
      </c>
      <c r="D23" s="5" t="n">
        <v>46203</v>
      </c>
      <c r="G23" t="inlineStr">
        <is>
          <t>A021</t>
        </is>
      </c>
    </row>
  </sheetData>
  <dataValidations count="1">
    <dataValidation sqref="F2:F523" showDropDown="0" showInputMessage="0" showErrorMessage="1" allowBlank="1" errorTitle="Not an allowed value" error="Pick a value for gain_subject_to_mit_withholding from the list." type="list">
      <formula1>'ValueAssistance'!$A$2:$A$3</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A6A6A6"/>
    <outlinePr summaryBelow="1" summaryRight="1"/>
    <pageSetUpPr/>
  </sheetPr>
  <dimension ref="A1:G231"/>
  <sheetViews>
    <sheetView workbookViewId="0">
      <pane ySplit="1" topLeftCell="A2" activePane="bottomLeft" state="frozen"/>
      <selection pane="bottomLeft" activeCell="A1" sqref="A1"/>
    </sheetView>
  </sheetViews>
  <sheetFormatPr baseColWidth="8" defaultRowHeight="15"/>
  <cols>
    <col width="33.2" customWidth="1" min="1" max="1"/>
    <col width="13.2" customWidth="1" min="2" max="2"/>
    <col width="27.2" customWidth="1" min="3" max="3"/>
    <col width="9.199999999999999" customWidth="1" min="4" max="4"/>
    <col width="17.2" customWidth="1" min="5" max="5"/>
    <col width="25.2" customWidth="1" min="6" max="6"/>
    <col width="63.2" customWidth="1" min="7" max="7"/>
  </cols>
  <sheetData>
    <row r="1" ht="32" customHeight="1">
      <c r="A1" s="1" t="inlineStr">
        <is>
          <t>legacy_id</t>
        </is>
      </c>
      <c r="B1" s="1" t="inlineStr">
        <is>
          <t>description</t>
        </is>
      </c>
      <c r="C1" s="1" t="inlineStr">
        <is>
          <t>component</t>
        </is>
      </c>
      <c r="D1" s="1" t="inlineStr">
        <is>
          <t>amount</t>
        </is>
      </c>
      <c r="E1" s="1" t="inlineStr">
        <is>
          <t>amount_currency</t>
        </is>
      </c>
      <c r="F1" s="1" t="inlineStr">
        <is>
          <t>lookup_legacy_statement</t>
        </is>
      </c>
      <c r="G1" s="1" t="inlineStr">
        <is>
          <t>notes</t>
        </is>
      </c>
    </row>
    <row r="2">
      <c r="A2" t="inlineStr">
        <is>
          <t>AS001-DISCOUNTED_NTAP</t>
        </is>
      </c>
      <c r="C2" t="inlineStr">
        <is>
          <t>DISCOUNTED_NTAP</t>
        </is>
      </c>
      <c r="D2" t="n">
        <v>4.45</v>
      </c>
      <c r="E2" t="inlineStr">
        <is>
          <t>AUD</t>
        </is>
      </c>
      <c r="F2" t="inlineStr">
        <is>
          <t>AS001</t>
        </is>
      </c>
      <c r="G2" t="inlineStr">
        <is>
          <t>FAKE DATA - generated for demonstration, not a real portfolio</t>
        </is>
      </c>
    </row>
    <row r="3">
      <c r="A3" t="inlineStr">
        <is>
          <t>AS001-OTHER_NTAP</t>
        </is>
      </c>
      <c r="C3" t="inlineStr">
        <is>
          <t>OTHER_NTAP</t>
        </is>
      </c>
      <c r="D3" t="n">
        <v>2.14</v>
      </c>
      <c r="E3" t="inlineStr">
        <is>
          <t>AUD</t>
        </is>
      </c>
      <c r="F3" t="inlineStr">
        <is>
          <t>AS001</t>
        </is>
      </c>
    </row>
    <row r="4">
      <c r="A4" t="inlineStr">
        <is>
          <t>AS001-AMIT_GROSS_UP</t>
        </is>
      </c>
      <c r="C4" t="inlineStr">
        <is>
          <t>AMIT_GROSS_UP</t>
        </is>
      </c>
      <c r="D4" t="n">
        <v>4.45</v>
      </c>
      <c r="E4" t="inlineStr">
        <is>
          <t>AUD</t>
        </is>
      </c>
      <c r="F4" t="inlineStr">
        <is>
          <t>AS001</t>
        </is>
      </c>
    </row>
    <row r="5">
      <c r="A5" t="inlineStr">
        <is>
          <t>AS001-TOTAL_CY_CG</t>
        </is>
      </c>
      <c r="C5" t="inlineStr">
        <is>
          <t>TOTAL_CY_CG</t>
        </is>
      </c>
      <c r="D5" t="n">
        <v>11.04</v>
      </c>
      <c r="E5" t="inlineStr">
        <is>
          <t>AUD</t>
        </is>
      </c>
      <c r="F5" t="inlineStr">
        <is>
          <t>AS001</t>
        </is>
      </c>
    </row>
    <row r="6">
      <c r="A6" t="inlineStr">
        <is>
          <t>AS001-FRANKED_DISTRIBUTION</t>
        </is>
      </c>
      <c r="C6" t="inlineStr">
        <is>
          <t>FRANKED_DISTRIBUTION</t>
        </is>
      </c>
      <c r="D6" t="n">
        <v>136.77</v>
      </c>
      <c r="E6" t="inlineStr">
        <is>
          <t>AUD</t>
        </is>
      </c>
      <c r="F6" t="inlineStr">
        <is>
          <t>AS001</t>
        </is>
      </c>
    </row>
    <row r="7">
      <c r="A7" t="inlineStr">
        <is>
          <t>AS001-UNFRANKED_DISTRIBUTION</t>
        </is>
      </c>
      <c r="C7" t="inlineStr">
        <is>
          <t>UNFRANKED_DISTRIBUTION</t>
        </is>
      </c>
      <c r="D7" t="n">
        <v>22.8</v>
      </c>
      <c r="E7" t="inlineStr">
        <is>
          <t>AUD</t>
        </is>
      </c>
      <c r="F7" t="inlineStr">
        <is>
          <t>AS001</t>
        </is>
      </c>
    </row>
    <row r="8">
      <c r="A8" t="inlineStr">
        <is>
          <t>AS001-FOREIGN_SOURCE_INCOME</t>
        </is>
      </c>
      <c r="C8" t="inlineStr">
        <is>
          <t>FOREIGN_SOURCE_INCOME</t>
        </is>
      </c>
      <c r="D8" t="n">
        <v>12.27</v>
      </c>
      <c r="E8" t="inlineStr">
        <is>
          <t>AUD</t>
        </is>
      </c>
      <c r="F8" t="inlineStr">
        <is>
          <t>AS001</t>
        </is>
      </c>
    </row>
    <row r="9">
      <c r="A9" t="inlineStr">
        <is>
          <t>AS001-INTEREST</t>
        </is>
      </c>
      <c r="C9" t="inlineStr">
        <is>
          <t>INTEREST</t>
        </is>
      </c>
      <c r="D9" t="n">
        <v>3.51</v>
      </c>
      <c r="E9" t="inlineStr">
        <is>
          <t>AUD</t>
        </is>
      </c>
      <c r="F9" t="inlineStr">
        <is>
          <t>AS001</t>
        </is>
      </c>
    </row>
    <row r="10">
      <c r="A10" t="inlineStr">
        <is>
          <t>AS001-FRANKING_CREDIT</t>
        </is>
      </c>
      <c r="C10" t="inlineStr">
        <is>
          <t>FRANKING_CREDIT</t>
        </is>
      </c>
      <c r="D10" t="n">
        <v>58.62</v>
      </c>
      <c r="E10" t="inlineStr">
        <is>
          <t>AUD</t>
        </is>
      </c>
      <c r="F10" t="inlineStr">
        <is>
          <t>AS001</t>
        </is>
      </c>
    </row>
    <row r="11">
      <c r="A11" t="inlineStr">
        <is>
          <t>AS001-FOREIGN_INCOME_TAX_OFFSET</t>
        </is>
      </c>
      <c r="C11" t="inlineStr">
        <is>
          <t>FOREIGN_INCOME_TAX_OFFSET</t>
        </is>
      </c>
      <c r="D11" t="n">
        <v>1.23</v>
      </c>
      <c r="E11" t="inlineStr">
        <is>
          <t>AUD</t>
        </is>
      </c>
      <c r="F11" t="inlineStr">
        <is>
          <t>AS001</t>
        </is>
      </c>
    </row>
    <row r="12">
      <c r="A12" t="inlineStr">
        <is>
          <t>AS001-COSTBASE_INCREASE</t>
        </is>
      </c>
      <c r="C12" t="inlineStr">
        <is>
          <t>COSTBASE_INCREASE</t>
        </is>
      </c>
      <c r="D12" t="n">
        <v>2.7</v>
      </c>
      <c r="E12" t="inlineStr">
        <is>
          <t>AUD</t>
        </is>
      </c>
      <c r="F12" t="inlineStr">
        <is>
          <t>AS001</t>
        </is>
      </c>
    </row>
    <row r="13">
      <c r="A13" t="inlineStr">
        <is>
          <t>AS002-DISCOUNTED_NTAP</t>
        </is>
      </c>
      <c r="C13" t="inlineStr">
        <is>
          <t>DISCOUNTED_NTAP</t>
        </is>
      </c>
      <c r="D13" t="n">
        <v>6.16</v>
      </c>
      <c r="E13" t="inlineStr">
        <is>
          <t>AUD</t>
        </is>
      </c>
      <c r="F13" t="inlineStr">
        <is>
          <t>AS002</t>
        </is>
      </c>
    </row>
    <row r="14">
      <c r="A14" t="inlineStr">
        <is>
          <t>AS002-OTHER_NTAP</t>
        </is>
      </c>
      <c r="C14" t="inlineStr">
        <is>
          <t>OTHER_NTAP</t>
        </is>
      </c>
      <c r="D14" t="n">
        <v>2.11</v>
      </c>
      <c r="E14" t="inlineStr">
        <is>
          <t>AUD</t>
        </is>
      </c>
      <c r="F14" t="inlineStr">
        <is>
          <t>AS002</t>
        </is>
      </c>
    </row>
    <row r="15">
      <c r="A15" t="inlineStr">
        <is>
          <t>AS002-AMIT_GROSS_UP</t>
        </is>
      </c>
      <c r="C15" t="inlineStr">
        <is>
          <t>AMIT_GROSS_UP</t>
        </is>
      </c>
      <c r="D15" t="n">
        <v>6.16</v>
      </c>
      <c r="E15" t="inlineStr">
        <is>
          <t>AUD</t>
        </is>
      </c>
      <c r="F15" t="inlineStr">
        <is>
          <t>AS002</t>
        </is>
      </c>
    </row>
    <row r="16">
      <c r="A16" t="inlineStr">
        <is>
          <t>AS002-TOTAL_CY_CG</t>
        </is>
      </c>
      <c r="C16" t="inlineStr">
        <is>
          <t>TOTAL_CY_CG</t>
        </is>
      </c>
      <c r="D16" t="n">
        <v>14.43</v>
      </c>
      <c r="E16" t="inlineStr">
        <is>
          <t>AUD</t>
        </is>
      </c>
      <c r="F16" t="inlineStr">
        <is>
          <t>AS002</t>
        </is>
      </c>
    </row>
    <row r="17">
      <c r="A17" t="inlineStr">
        <is>
          <t>AS002-FOREIGN_SOURCE_INCOME</t>
        </is>
      </c>
      <c r="C17" t="inlineStr">
        <is>
          <t>FOREIGN_SOURCE_INCOME</t>
        </is>
      </c>
      <c r="D17" t="n">
        <v>74.41</v>
      </c>
      <c r="E17" t="inlineStr">
        <is>
          <t>AUD</t>
        </is>
      </c>
      <c r="F17" t="inlineStr">
        <is>
          <t>AS002</t>
        </is>
      </c>
    </row>
    <row r="18">
      <c r="A18" t="inlineStr">
        <is>
          <t>AS002-INTEREST</t>
        </is>
      </c>
      <c r="C18" t="inlineStr">
        <is>
          <t>INTEREST</t>
        </is>
      </c>
      <c r="D18" t="n">
        <v>3.96</v>
      </c>
      <c r="E18" t="inlineStr">
        <is>
          <t>AUD</t>
        </is>
      </c>
      <c r="F18" t="inlineStr">
        <is>
          <t>AS002</t>
        </is>
      </c>
    </row>
    <row r="19">
      <c r="A19" t="inlineStr">
        <is>
          <t>AS002-UNFRANKED_DISTRIBUTION</t>
        </is>
      </c>
      <c r="C19" t="inlineStr">
        <is>
          <t>UNFRANKED_DISTRIBUTION</t>
        </is>
      </c>
      <c r="D19" t="n">
        <v>0.79</v>
      </c>
      <c r="E19" t="inlineStr">
        <is>
          <t>AUD</t>
        </is>
      </c>
      <c r="F19" t="inlineStr">
        <is>
          <t>AS002</t>
        </is>
      </c>
    </row>
    <row r="20">
      <c r="A20" t="inlineStr">
        <is>
          <t>AS002-FOREIGN_INCOME_TAX_OFFSET</t>
        </is>
      </c>
      <c r="C20" t="inlineStr">
        <is>
          <t>FOREIGN_INCOME_TAX_OFFSET</t>
        </is>
      </c>
      <c r="D20" t="n">
        <v>7.44</v>
      </c>
      <c r="E20" t="inlineStr">
        <is>
          <t>AUD</t>
        </is>
      </c>
      <c r="F20" t="inlineStr">
        <is>
          <t>AS002</t>
        </is>
      </c>
    </row>
    <row r="21">
      <c r="A21" t="inlineStr">
        <is>
          <t>AS002-COSTBASE_INCREASE</t>
        </is>
      </c>
      <c r="C21" t="inlineStr">
        <is>
          <t>COSTBASE_INCREASE</t>
        </is>
      </c>
      <c r="D21" t="n">
        <v>7.49</v>
      </c>
      <c r="E21" t="inlineStr">
        <is>
          <t>AUD</t>
        </is>
      </c>
      <c r="F21" t="inlineStr">
        <is>
          <t>AS002</t>
        </is>
      </c>
    </row>
    <row r="22">
      <c r="A22" t="inlineStr">
        <is>
          <t>AS003-DISCOUNTED_NTAP</t>
        </is>
      </c>
      <c r="C22" t="inlineStr">
        <is>
          <t>DISCOUNTED_NTAP</t>
        </is>
      </c>
      <c r="D22" t="n">
        <v>46.6</v>
      </c>
      <c r="E22" t="inlineStr">
        <is>
          <t>AUD</t>
        </is>
      </c>
      <c r="F22" t="inlineStr">
        <is>
          <t>AS003</t>
        </is>
      </c>
    </row>
    <row r="23">
      <c r="A23" t="inlineStr">
        <is>
          <t>AS003-OTHER_NTAP</t>
        </is>
      </c>
      <c r="C23" t="inlineStr">
        <is>
          <t>OTHER_NTAP</t>
        </is>
      </c>
      <c r="D23" t="n">
        <v>2.95</v>
      </c>
      <c r="E23" t="inlineStr">
        <is>
          <t>AUD</t>
        </is>
      </c>
      <c r="F23" t="inlineStr">
        <is>
          <t>AS003</t>
        </is>
      </c>
    </row>
    <row r="24">
      <c r="A24" t="inlineStr">
        <is>
          <t>AS003-AMIT_GROSS_UP</t>
        </is>
      </c>
      <c r="C24" t="inlineStr">
        <is>
          <t>AMIT_GROSS_UP</t>
        </is>
      </c>
      <c r="D24" t="n">
        <v>46.6</v>
      </c>
      <c r="E24" t="inlineStr">
        <is>
          <t>AUD</t>
        </is>
      </c>
      <c r="F24" t="inlineStr">
        <is>
          <t>AS003</t>
        </is>
      </c>
    </row>
    <row r="25">
      <c r="A25" t="inlineStr">
        <is>
          <t>AS003-TOTAL_CY_CG</t>
        </is>
      </c>
      <c r="C25" t="inlineStr">
        <is>
          <t>TOTAL_CY_CG</t>
        </is>
      </c>
      <c r="D25" t="n">
        <v>96.15000000000001</v>
      </c>
      <c r="E25" t="inlineStr">
        <is>
          <t>AUD</t>
        </is>
      </c>
      <c r="F25" t="inlineStr">
        <is>
          <t>AS003</t>
        </is>
      </c>
    </row>
    <row r="26">
      <c r="A26" t="inlineStr">
        <is>
          <t>AS003-FRANKED_DISTRIBUTION</t>
        </is>
      </c>
      <c r="C26" t="inlineStr">
        <is>
          <t>FRANKED_DISTRIBUTION</t>
        </is>
      </c>
      <c r="D26" t="n">
        <v>566.1</v>
      </c>
      <c r="E26" t="inlineStr">
        <is>
          <t>AUD</t>
        </is>
      </c>
      <c r="F26" t="inlineStr">
        <is>
          <t>AS003</t>
        </is>
      </c>
    </row>
    <row r="27">
      <c r="A27" t="inlineStr">
        <is>
          <t>AS003-UNFRANKED_DISTRIBUTION</t>
        </is>
      </c>
      <c r="C27" t="inlineStr">
        <is>
          <t>UNFRANKED_DISTRIBUTION</t>
        </is>
      </c>
      <c r="D27" t="n">
        <v>94.34999999999999</v>
      </c>
      <c r="E27" t="inlineStr">
        <is>
          <t>AUD</t>
        </is>
      </c>
      <c r="F27" t="inlineStr">
        <is>
          <t>AS003</t>
        </is>
      </c>
    </row>
    <row r="28">
      <c r="A28" t="inlineStr">
        <is>
          <t>AS003-FOREIGN_SOURCE_INCOME</t>
        </is>
      </c>
      <c r="C28" t="inlineStr">
        <is>
          <t>FOREIGN_SOURCE_INCOME</t>
        </is>
      </c>
      <c r="D28" t="n">
        <v>50.8</v>
      </c>
      <c r="E28" t="inlineStr">
        <is>
          <t>AUD</t>
        </is>
      </c>
      <c r="F28" t="inlineStr">
        <is>
          <t>AS003</t>
        </is>
      </c>
    </row>
    <row r="29">
      <c r="A29" t="inlineStr">
        <is>
          <t>AS003-INTEREST</t>
        </is>
      </c>
      <c r="C29" t="inlineStr">
        <is>
          <t>INTEREST</t>
        </is>
      </c>
      <c r="D29" t="n">
        <v>14.52</v>
      </c>
      <c r="E29" t="inlineStr">
        <is>
          <t>AUD</t>
        </is>
      </c>
      <c r="F29" t="inlineStr">
        <is>
          <t>AS003</t>
        </is>
      </c>
    </row>
    <row r="30">
      <c r="A30" t="inlineStr">
        <is>
          <t>AS003-FRANKING_CREDIT</t>
        </is>
      </c>
      <c r="C30" t="inlineStr">
        <is>
          <t>FRANKING_CREDIT</t>
        </is>
      </c>
      <c r="D30" t="n">
        <v>242.61</v>
      </c>
      <c r="E30" t="inlineStr">
        <is>
          <t>AUD</t>
        </is>
      </c>
      <c r="F30" t="inlineStr">
        <is>
          <t>AS003</t>
        </is>
      </c>
    </row>
    <row r="31">
      <c r="A31" t="inlineStr">
        <is>
          <t>AS003-FOREIGN_INCOME_TAX_OFFSET</t>
        </is>
      </c>
      <c r="C31" t="inlineStr">
        <is>
          <t>FOREIGN_INCOME_TAX_OFFSET</t>
        </is>
      </c>
      <c r="D31" t="n">
        <v>5.08</v>
      </c>
      <c r="E31" t="inlineStr">
        <is>
          <t>AUD</t>
        </is>
      </c>
      <c r="F31" t="inlineStr">
        <is>
          <t>AS003</t>
        </is>
      </c>
    </row>
    <row r="32">
      <c r="A32" t="inlineStr">
        <is>
          <t>AS003-COSTBASE_DECREASE</t>
        </is>
      </c>
      <c r="C32" t="inlineStr">
        <is>
          <t>COSTBASE_DECREASE</t>
        </is>
      </c>
      <c r="D32" t="n">
        <v>67.83</v>
      </c>
      <c r="E32" t="inlineStr">
        <is>
          <t>AUD</t>
        </is>
      </c>
      <c r="F32" t="inlineStr">
        <is>
          <t>AS003</t>
        </is>
      </c>
    </row>
    <row r="33">
      <c r="A33" t="inlineStr">
        <is>
          <t>AS004-DISCOUNTED_NTAP</t>
        </is>
      </c>
      <c r="C33" t="inlineStr">
        <is>
          <t>DISCOUNTED_NTAP</t>
        </is>
      </c>
      <c r="D33" t="n">
        <v>21.2</v>
      </c>
      <c r="E33" t="inlineStr">
        <is>
          <t>AUD</t>
        </is>
      </c>
      <c r="F33" t="inlineStr">
        <is>
          <t>AS004</t>
        </is>
      </c>
    </row>
    <row r="34">
      <c r="A34" t="inlineStr">
        <is>
          <t>AS004-OTHER_NTAP</t>
        </is>
      </c>
      <c r="C34" t="inlineStr">
        <is>
          <t>OTHER_NTAP</t>
        </is>
      </c>
      <c r="D34" t="n">
        <v>7.1</v>
      </c>
      <c r="E34" t="inlineStr">
        <is>
          <t>AUD</t>
        </is>
      </c>
      <c r="F34" t="inlineStr">
        <is>
          <t>AS004</t>
        </is>
      </c>
    </row>
    <row r="35">
      <c r="A35" t="inlineStr">
        <is>
          <t>AS004-AMIT_GROSS_UP</t>
        </is>
      </c>
      <c r="C35" t="inlineStr">
        <is>
          <t>AMIT_GROSS_UP</t>
        </is>
      </c>
      <c r="D35" t="n">
        <v>21.2</v>
      </c>
      <c r="E35" t="inlineStr">
        <is>
          <t>AUD</t>
        </is>
      </c>
      <c r="F35" t="inlineStr">
        <is>
          <t>AS004</t>
        </is>
      </c>
    </row>
    <row r="36">
      <c r="A36" t="inlineStr">
        <is>
          <t>AS004-TOTAL_CY_CG</t>
        </is>
      </c>
      <c r="C36" t="inlineStr">
        <is>
          <t>TOTAL_CY_CG</t>
        </is>
      </c>
      <c r="D36" t="n">
        <v>49.5</v>
      </c>
      <c r="E36" t="inlineStr">
        <is>
          <t>AUD</t>
        </is>
      </c>
      <c r="F36" t="inlineStr">
        <is>
          <t>AS004</t>
        </is>
      </c>
    </row>
    <row r="37">
      <c r="A37" t="inlineStr">
        <is>
          <t>AS004-FOREIGN_SOURCE_INCOME</t>
        </is>
      </c>
      <c r="C37" t="inlineStr">
        <is>
          <t>FOREIGN_SOURCE_INCOME</t>
        </is>
      </c>
      <c r="D37" t="n">
        <v>426.37</v>
      </c>
      <c r="E37" t="inlineStr">
        <is>
          <t>AUD</t>
        </is>
      </c>
      <c r="F37" t="inlineStr">
        <is>
          <t>AS004</t>
        </is>
      </c>
    </row>
    <row r="38">
      <c r="A38" t="inlineStr">
        <is>
          <t>AS004-INTEREST</t>
        </is>
      </c>
      <c r="C38" t="inlineStr">
        <is>
          <t>INTEREST</t>
        </is>
      </c>
      <c r="D38" t="n">
        <v>22.68</v>
      </c>
      <c r="E38" t="inlineStr">
        <is>
          <t>AUD</t>
        </is>
      </c>
      <c r="F38" t="inlineStr">
        <is>
          <t>AS004</t>
        </is>
      </c>
    </row>
    <row r="39">
      <c r="A39" t="inlineStr">
        <is>
          <t>AS004-UNFRANKED_DISTRIBUTION</t>
        </is>
      </c>
      <c r="C39" t="inlineStr">
        <is>
          <t>UNFRANKED_DISTRIBUTION</t>
        </is>
      </c>
      <c r="D39" t="n">
        <v>4.54</v>
      </c>
      <c r="E39" t="inlineStr">
        <is>
          <t>AUD</t>
        </is>
      </c>
      <c r="F39" t="inlineStr">
        <is>
          <t>AS004</t>
        </is>
      </c>
    </row>
    <row r="40">
      <c r="A40" t="inlineStr">
        <is>
          <t>AS004-FOREIGN_INCOME_TAX_OFFSET</t>
        </is>
      </c>
      <c r="C40" t="inlineStr">
        <is>
          <t>FOREIGN_INCOME_TAX_OFFSET</t>
        </is>
      </c>
      <c r="D40" t="n">
        <v>42.64</v>
      </c>
      <c r="E40" t="inlineStr">
        <is>
          <t>AUD</t>
        </is>
      </c>
      <c r="F40" t="inlineStr">
        <is>
          <t>AS004</t>
        </is>
      </c>
    </row>
    <row r="41">
      <c r="A41" t="inlineStr">
        <is>
          <t>AS004-COSTBASE_DECREASE</t>
        </is>
      </c>
      <c r="C41" t="inlineStr">
        <is>
          <t>COSTBASE_DECREASE</t>
        </is>
      </c>
      <c r="D41" t="n">
        <v>60.31</v>
      </c>
      <c r="E41" t="inlineStr">
        <is>
          <t>AUD</t>
        </is>
      </c>
      <c r="F41" t="inlineStr">
        <is>
          <t>AS004</t>
        </is>
      </c>
    </row>
    <row r="42">
      <c r="A42" t="inlineStr">
        <is>
          <t>AS005-DISCOUNTED_TAP</t>
        </is>
      </c>
      <c r="C42" t="inlineStr">
        <is>
          <t>DISCOUNTED_TAP</t>
        </is>
      </c>
      <c r="D42" t="n">
        <v>1.15</v>
      </c>
      <c r="E42" t="inlineStr">
        <is>
          <t>AUD</t>
        </is>
      </c>
      <c r="F42" t="inlineStr">
        <is>
          <t>AS005</t>
        </is>
      </c>
    </row>
    <row r="43">
      <c r="A43" t="inlineStr">
        <is>
          <t>AS005-DISCOUNTED_NTAP</t>
        </is>
      </c>
      <c r="C43" t="inlineStr">
        <is>
          <t>DISCOUNTED_NTAP</t>
        </is>
      </c>
      <c r="D43" t="n">
        <v>14.86</v>
      </c>
      <c r="E43" t="inlineStr">
        <is>
          <t>AUD</t>
        </is>
      </c>
      <c r="F43" t="inlineStr">
        <is>
          <t>AS005</t>
        </is>
      </c>
    </row>
    <row r="44">
      <c r="A44" t="inlineStr">
        <is>
          <t>AS005-OTHER_NTAP</t>
        </is>
      </c>
      <c r="C44" t="inlineStr">
        <is>
          <t>OTHER_NTAP</t>
        </is>
      </c>
      <c r="D44" t="n">
        <v>1.6</v>
      </c>
      <c r="E44" t="inlineStr">
        <is>
          <t>AUD</t>
        </is>
      </c>
      <c r="F44" t="inlineStr">
        <is>
          <t>AS005</t>
        </is>
      </c>
    </row>
    <row r="45">
      <c r="A45" t="inlineStr">
        <is>
          <t>AS005-AMIT_GROSS_UP</t>
        </is>
      </c>
      <c r="C45" t="inlineStr">
        <is>
          <t>AMIT_GROSS_UP</t>
        </is>
      </c>
      <c r="D45" t="n">
        <v>16.01</v>
      </c>
      <c r="E45" t="inlineStr">
        <is>
          <t>AUD</t>
        </is>
      </c>
      <c r="F45" t="inlineStr">
        <is>
          <t>AS005</t>
        </is>
      </c>
    </row>
    <row r="46">
      <c r="A46" t="inlineStr">
        <is>
          <t>AS005-TOTAL_CY_CG</t>
        </is>
      </c>
      <c r="C46" t="inlineStr">
        <is>
          <t>TOTAL_CY_CG</t>
        </is>
      </c>
      <c r="D46" t="n">
        <v>33.62</v>
      </c>
      <c r="E46" t="inlineStr">
        <is>
          <t>AUD</t>
        </is>
      </c>
      <c r="F46" t="inlineStr">
        <is>
          <t>AS005</t>
        </is>
      </c>
    </row>
    <row r="47">
      <c r="A47" t="inlineStr">
        <is>
          <t>AS005-FRANKED_DISTRIBUTION</t>
        </is>
      </c>
      <c r="C47" t="inlineStr">
        <is>
          <t>FRANKED_DISTRIBUTION</t>
        </is>
      </c>
      <c r="D47" t="n">
        <v>246.1</v>
      </c>
      <c r="E47" t="inlineStr">
        <is>
          <t>AUD</t>
        </is>
      </c>
      <c r="F47" t="inlineStr">
        <is>
          <t>AS005</t>
        </is>
      </c>
    </row>
    <row r="48">
      <c r="A48" t="inlineStr">
        <is>
          <t>AS005-UNFRANKED_DISTRIBUTION</t>
        </is>
      </c>
      <c r="C48" t="inlineStr">
        <is>
          <t>UNFRANKED_DISTRIBUTION</t>
        </is>
      </c>
      <c r="D48" t="n">
        <v>36.91</v>
      </c>
      <c r="E48" t="inlineStr">
        <is>
          <t>AUD</t>
        </is>
      </c>
      <c r="F48" t="inlineStr">
        <is>
          <t>AS005</t>
        </is>
      </c>
    </row>
    <row r="49">
      <c r="A49" t="inlineStr">
        <is>
          <t>AS005-FOREIGN_SOURCE_INCOME</t>
        </is>
      </c>
      <c r="C49" t="inlineStr">
        <is>
          <t>FOREIGN_SOURCE_INCOME</t>
        </is>
      </c>
      <c r="D49" t="n">
        <v>18.46</v>
      </c>
      <c r="E49" t="inlineStr">
        <is>
          <t>AUD</t>
        </is>
      </c>
      <c r="F49" t="inlineStr">
        <is>
          <t>AS005</t>
        </is>
      </c>
    </row>
    <row r="50">
      <c r="A50" t="inlineStr">
        <is>
          <t>AS005-INTEREST</t>
        </is>
      </c>
      <c r="C50" t="inlineStr">
        <is>
          <t>INTEREST</t>
        </is>
      </c>
      <c r="D50" t="n">
        <v>6.15</v>
      </c>
      <c r="E50" t="inlineStr">
        <is>
          <t>AUD</t>
        </is>
      </c>
      <c r="F50" t="inlineStr">
        <is>
          <t>AS005</t>
        </is>
      </c>
    </row>
    <row r="51">
      <c r="A51" t="inlineStr">
        <is>
          <t>AS005-FRANKING_CREDIT</t>
        </is>
      </c>
      <c r="C51" t="inlineStr">
        <is>
          <t>FRANKING_CREDIT</t>
        </is>
      </c>
      <c r="D51" t="n">
        <v>105.47</v>
      </c>
      <c r="E51" t="inlineStr">
        <is>
          <t>AUD</t>
        </is>
      </c>
      <c r="F51" t="inlineStr">
        <is>
          <t>AS005</t>
        </is>
      </c>
    </row>
    <row r="52">
      <c r="A52" t="inlineStr">
        <is>
          <t>AS005-FOREIGN_INCOME_TAX_OFFSET</t>
        </is>
      </c>
      <c r="C52" t="inlineStr">
        <is>
          <t>FOREIGN_INCOME_TAX_OFFSET</t>
        </is>
      </c>
      <c r="D52" t="n">
        <v>1.85</v>
      </c>
      <c r="E52" t="inlineStr">
        <is>
          <t>AUD</t>
        </is>
      </c>
      <c r="F52" t="inlineStr">
        <is>
          <t>AS005</t>
        </is>
      </c>
    </row>
    <row r="53">
      <c r="A53" t="inlineStr">
        <is>
          <t>AS005-COSTBASE_INCREASE</t>
        </is>
      </c>
      <c r="C53" t="inlineStr">
        <is>
          <t>COSTBASE_INCREASE</t>
        </is>
      </c>
      <c r="D53" t="n">
        <v>14.66</v>
      </c>
      <c r="E53" t="inlineStr">
        <is>
          <t>AUD</t>
        </is>
      </c>
      <c r="F53" t="inlineStr">
        <is>
          <t>AS005</t>
        </is>
      </c>
    </row>
    <row r="54">
      <c r="A54" t="inlineStr">
        <is>
          <t>AS006-DISCOUNTED_NTAP</t>
        </is>
      </c>
      <c r="C54" t="inlineStr">
        <is>
          <t>DISCOUNTED_NTAP</t>
        </is>
      </c>
      <c r="D54" t="n">
        <v>45.31</v>
      </c>
      <c r="E54" t="inlineStr">
        <is>
          <t>AUD</t>
        </is>
      </c>
      <c r="F54" t="inlineStr">
        <is>
          <t>AS006</t>
        </is>
      </c>
    </row>
    <row r="55">
      <c r="A55" t="inlineStr">
        <is>
          <t>AS006-OTHER_NTAP</t>
        </is>
      </c>
      <c r="C55" t="inlineStr">
        <is>
          <t>OTHER_NTAP</t>
        </is>
      </c>
      <c r="D55" t="n">
        <v>4.75</v>
      </c>
      <c r="E55" t="inlineStr">
        <is>
          <t>AUD</t>
        </is>
      </c>
      <c r="F55" t="inlineStr">
        <is>
          <t>AS006</t>
        </is>
      </c>
    </row>
    <row r="56">
      <c r="A56" t="inlineStr">
        <is>
          <t>AS006-AMIT_GROSS_UP</t>
        </is>
      </c>
      <c r="C56" t="inlineStr">
        <is>
          <t>AMIT_GROSS_UP</t>
        </is>
      </c>
      <c r="D56" t="n">
        <v>45.31</v>
      </c>
      <c r="E56" t="inlineStr">
        <is>
          <t>AUD</t>
        </is>
      </c>
      <c r="F56" t="inlineStr">
        <is>
          <t>AS006</t>
        </is>
      </c>
    </row>
    <row r="57">
      <c r="A57" t="inlineStr">
        <is>
          <t>AS006-TOTAL_CY_CG</t>
        </is>
      </c>
      <c r="C57" t="inlineStr">
        <is>
          <t>TOTAL_CY_CG</t>
        </is>
      </c>
      <c r="D57" t="n">
        <v>95.37</v>
      </c>
      <c r="E57" t="inlineStr">
        <is>
          <t>AUD</t>
        </is>
      </c>
      <c r="F57" t="inlineStr">
        <is>
          <t>AS006</t>
        </is>
      </c>
    </row>
    <row r="58">
      <c r="A58" t="inlineStr">
        <is>
          <t>AS006-FRANKED_DISTRIBUTION</t>
        </is>
      </c>
      <c r="C58" t="inlineStr">
        <is>
          <t>FRANKED_DISTRIBUTION</t>
        </is>
      </c>
      <c r="D58" t="n">
        <v>1202.59</v>
      </c>
      <c r="E58" t="inlineStr">
        <is>
          <t>AUD</t>
        </is>
      </c>
      <c r="F58" t="inlineStr">
        <is>
          <t>AS006</t>
        </is>
      </c>
    </row>
    <row r="59">
      <c r="A59" t="inlineStr">
        <is>
          <t>AS006-UNFRANKED_DISTRIBUTION</t>
        </is>
      </c>
      <c r="C59" t="inlineStr">
        <is>
          <t>UNFRANKED_DISTRIBUTION</t>
        </is>
      </c>
      <c r="D59" t="n">
        <v>200.43</v>
      </c>
      <c r="E59" t="inlineStr">
        <is>
          <t>AUD</t>
        </is>
      </c>
      <c r="F59" t="inlineStr">
        <is>
          <t>AS006</t>
        </is>
      </c>
    </row>
    <row r="60">
      <c r="A60" t="inlineStr">
        <is>
          <t>AS006-FOREIGN_SOURCE_INCOME</t>
        </is>
      </c>
      <c r="C60" t="inlineStr">
        <is>
          <t>FOREIGN_SOURCE_INCOME</t>
        </is>
      </c>
      <c r="D60" t="n">
        <v>107.93</v>
      </c>
      <c r="E60" t="inlineStr">
        <is>
          <t>AUD</t>
        </is>
      </c>
      <c r="F60" t="inlineStr">
        <is>
          <t>AS006</t>
        </is>
      </c>
    </row>
    <row r="61">
      <c r="A61" t="inlineStr">
        <is>
          <t>AS006-INTEREST</t>
        </is>
      </c>
      <c r="C61" t="inlineStr">
        <is>
          <t>INTEREST</t>
        </is>
      </c>
      <c r="D61" t="n">
        <v>30.84</v>
      </c>
      <c r="E61" t="inlineStr">
        <is>
          <t>AUD</t>
        </is>
      </c>
      <c r="F61" t="inlineStr">
        <is>
          <t>AS006</t>
        </is>
      </c>
    </row>
    <row r="62">
      <c r="A62" t="inlineStr">
        <is>
          <t>AS006-FRANKING_CREDIT</t>
        </is>
      </c>
      <c r="C62" t="inlineStr">
        <is>
          <t>FRANKING_CREDIT</t>
        </is>
      </c>
      <c r="D62" t="n">
        <v>515.4</v>
      </c>
      <c r="E62" t="inlineStr">
        <is>
          <t>AUD</t>
        </is>
      </c>
      <c r="F62" t="inlineStr">
        <is>
          <t>AS006</t>
        </is>
      </c>
    </row>
    <row r="63">
      <c r="A63" t="inlineStr">
        <is>
          <t>AS006-FOREIGN_INCOME_TAX_OFFSET</t>
        </is>
      </c>
      <c r="C63" t="inlineStr">
        <is>
          <t>FOREIGN_INCOME_TAX_OFFSET</t>
        </is>
      </c>
      <c r="D63" t="n">
        <v>10.79</v>
      </c>
      <c r="E63" t="inlineStr">
        <is>
          <t>AUD</t>
        </is>
      </c>
      <c r="F63" t="inlineStr">
        <is>
          <t>AS006</t>
        </is>
      </c>
    </row>
    <row r="64">
      <c r="A64" t="inlineStr">
        <is>
          <t>AS006-COSTBASE_INCREASE</t>
        </is>
      </c>
      <c r="C64" t="inlineStr">
        <is>
          <t>COSTBASE_INCREASE</t>
        </is>
      </c>
      <c r="D64" t="n">
        <v>54.17</v>
      </c>
      <c r="E64" t="inlineStr">
        <is>
          <t>AUD</t>
        </is>
      </c>
      <c r="F64" t="inlineStr">
        <is>
          <t>AS006</t>
        </is>
      </c>
    </row>
    <row r="65">
      <c r="A65" t="inlineStr">
        <is>
          <t>AS007-DISCOUNTED_NTAP</t>
        </is>
      </c>
      <c r="C65" t="inlineStr">
        <is>
          <t>DISCOUNTED_NTAP</t>
        </is>
      </c>
      <c r="D65" t="n">
        <v>59.11</v>
      </c>
      <c r="E65" t="inlineStr">
        <is>
          <t>AUD</t>
        </is>
      </c>
      <c r="F65" t="inlineStr">
        <is>
          <t>AS007</t>
        </is>
      </c>
    </row>
    <row r="66">
      <c r="A66" t="inlineStr">
        <is>
          <t>AS007-OTHER_NTAP</t>
        </is>
      </c>
      <c r="C66" t="inlineStr">
        <is>
          <t>OTHER_NTAP</t>
        </is>
      </c>
      <c r="D66" t="n">
        <v>2.75</v>
      </c>
      <c r="E66" t="inlineStr">
        <is>
          <t>AUD</t>
        </is>
      </c>
      <c r="F66" t="inlineStr">
        <is>
          <t>AS007</t>
        </is>
      </c>
    </row>
    <row r="67">
      <c r="A67" t="inlineStr">
        <is>
          <t>AS007-AMIT_GROSS_UP</t>
        </is>
      </c>
      <c r="C67" t="inlineStr">
        <is>
          <t>AMIT_GROSS_UP</t>
        </is>
      </c>
      <c r="D67" t="n">
        <v>59.11</v>
      </c>
      <c r="E67" t="inlineStr">
        <is>
          <t>AUD</t>
        </is>
      </c>
      <c r="F67" t="inlineStr">
        <is>
          <t>AS007</t>
        </is>
      </c>
    </row>
    <row r="68">
      <c r="A68" t="inlineStr">
        <is>
          <t>AS007-TOTAL_CY_CG</t>
        </is>
      </c>
      <c r="C68" t="inlineStr">
        <is>
          <t>TOTAL_CY_CG</t>
        </is>
      </c>
      <c r="D68" t="n">
        <v>120.97</v>
      </c>
      <c r="E68" t="inlineStr">
        <is>
          <t>AUD</t>
        </is>
      </c>
      <c r="F68" t="inlineStr">
        <is>
          <t>AS007</t>
        </is>
      </c>
    </row>
    <row r="69">
      <c r="A69" t="inlineStr">
        <is>
          <t>AS007-FOREIGN_SOURCE_INCOME</t>
        </is>
      </c>
      <c r="C69" t="inlineStr">
        <is>
          <t>FOREIGN_SOURCE_INCOME</t>
        </is>
      </c>
      <c r="D69" t="n">
        <v>1182.6</v>
      </c>
      <c r="E69" t="inlineStr">
        <is>
          <t>AUD</t>
        </is>
      </c>
      <c r="F69" t="inlineStr">
        <is>
          <t>AS007</t>
        </is>
      </c>
    </row>
    <row r="70">
      <c r="A70" t="inlineStr">
        <is>
          <t>AS007-INTEREST</t>
        </is>
      </c>
      <c r="C70" t="inlineStr">
        <is>
          <t>INTEREST</t>
        </is>
      </c>
      <c r="D70" t="n">
        <v>62.9</v>
      </c>
      <c r="E70" t="inlineStr">
        <is>
          <t>AUD</t>
        </is>
      </c>
      <c r="F70" t="inlineStr">
        <is>
          <t>AS007</t>
        </is>
      </c>
    </row>
    <row r="71">
      <c r="A71" t="inlineStr">
        <is>
          <t>AS007-UNFRANKED_DISTRIBUTION</t>
        </is>
      </c>
      <c r="C71" t="inlineStr">
        <is>
          <t>UNFRANKED_DISTRIBUTION</t>
        </is>
      </c>
      <c r="D71" t="n">
        <v>12.58</v>
      </c>
      <c r="E71" t="inlineStr">
        <is>
          <t>AUD</t>
        </is>
      </c>
      <c r="F71" t="inlineStr">
        <is>
          <t>AS007</t>
        </is>
      </c>
    </row>
    <row r="72">
      <c r="A72" t="inlineStr">
        <is>
          <t>AS007-FOREIGN_INCOME_TAX_OFFSET</t>
        </is>
      </c>
      <c r="C72" t="inlineStr">
        <is>
          <t>FOREIGN_INCOME_TAX_OFFSET</t>
        </is>
      </c>
      <c r="D72" t="n">
        <v>118.26</v>
      </c>
      <c r="E72" t="inlineStr">
        <is>
          <t>AUD</t>
        </is>
      </c>
      <c r="F72" t="inlineStr">
        <is>
          <t>AS007</t>
        </is>
      </c>
    </row>
    <row r="73">
      <c r="A73" t="inlineStr">
        <is>
          <t>AS007-COSTBASE_INCREASE</t>
        </is>
      </c>
      <c r="C73" t="inlineStr">
        <is>
          <t>COSTBASE_INCREASE</t>
        </is>
      </c>
      <c r="D73" t="n">
        <v>46.66</v>
      </c>
      <c r="E73" t="inlineStr">
        <is>
          <t>AUD</t>
        </is>
      </c>
      <c r="F73" t="inlineStr">
        <is>
          <t>AS007</t>
        </is>
      </c>
    </row>
    <row r="74">
      <c r="A74" t="inlineStr">
        <is>
          <t>AS008-DISCOUNTED_TAP</t>
        </is>
      </c>
      <c r="C74" t="inlineStr">
        <is>
          <t>DISCOUNTED_TAP</t>
        </is>
      </c>
      <c r="D74" t="n">
        <v>3.47</v>
      </c>
      <c r="E74" t="inlineStr">
        <is>
          <t>AUD</t>
        </is>
      </c>
      <c r="F74" t="inlineStr">
        <is>
          <t>AS008</t>
        </is>
      </c>
    </row>
    <row r="75">
      <c r="A75" t="inlineStr">
        <is>
          <t>AS008-DISCOUNTED_NTAP</t>
        </is>
      </c>
      <c r="C75" t="inlineStr">
        <is>
          <t>DISCOUNTED_NTAP</t>
        </is>
      </c>
      <c r="D75" t="n">
        <v>65.95</v>
      </c>
      <c r="E75" t="inlineStr">
        <is>
          <t>AUD</t>
        </is>
      </c>
      <c r="F75" t="inlineStr">
        <is>
          <t>AS008</t>
        </is>
      </c>
    </row>
    <row r="76">
      <c r="A76" t="inlineStr">
        <is>
          <t>AS008-OTHER_NTAP</t>
        </is>
      </c>
      <c r="C76" t="inlineStr">
        <is>
          <t>OTHER_NTAP</t>
        </is>
      </c>
      <c r="D76" t="n">
        <v>16.46</v>
      </c>
      <c r="E76" t="inlineStr">
        <is>
          <t>AUD</t>
        </is>
      </c>
      <c r="F76" t="inlineStr">
        <is>
          <t>AS008</t>
        </is>
      </c>
    </row>
    <row r="77">
      <c r="A77" t="inlineStr">
        <is>
          <t>AS008-AMIT_GROSS_UP</t>
        </is>
      </c>
      <c r="C77" t="inlineStr">
        <is>
          <t>AMIT_GROSS_UP</t>
        </is>
      </c>
      <c r="D77" t="n">
        <v>69.42</v>
      </c>
      <c r="E77" t="inlineStr">
        <is>
          <t>AUD</t>
        </is>
      </c>
      <c r="F77" t="inlineStr">
        <is>
          <t>AS008</t>
        </is>
      </c>
    </row>
    <row r="78">
      <c r="A78" t="inlineStr">
        <is>
          <t>AS008-TOTAL_CY_CG</t>
        </is>
      </c>
      <c r="C78" t="inlineStr">
        <is>
          <t>TOTAL_CY_CG</t>
        </is>
      </c>
      <c r="D78" t="n">
        <v>155.3</v>
      </c>
      <c r="E78" t="inlineStr">
        <is>
          <t>AUD</t>
        </is>
      </c>
      <c r="F78" t="inlineStr">
        <is>
          <t>AS008</t>
        </is>
      </c>
    </row>
    <row r="79">
      <c r="A79" t="inlineStr">
        <is>
          <t>AS008-FRANKED_DISTRIBUTION</t>
        </is>
      </c>
      <c r="C79" t="inlineStr">
        <is>
          <t>FRANKED_DISTRIBUTION</t>
        </is>
      </c>
      <c r="D79" t="n">
        <v>859.2</v>
      </c>
      <c r="E79" t="inlineStr">
        <is>
          <t>AUD</t>
        </is>
      </c>
      <c r="F79" t="inlineStr">
        <is>
          <t>AS008</t>
        </is>
      </c>
    </row>
    <row r="80">
      <c r="A80" t="inlineStr">
        <is>
          <t>AS008-UNFRANKED_DISTRIBUTION</t>
        </is>
      </c>
      <c r="C80" t="inlineStr">
        <is>
          <t>UNFRANKED_DISTRIBUTION</t>
        </is>
      </c>
      <c r="D80" t="n">
        <v>128.88</v>
      </c>
      <c r="E80" t="inlineStr">
        <is>
          <t>AUD</t>
        </is>
      </c>
      <c r="F80" t="inlineStr">
        <is>
          <t>AS008</t>
        </is>
      </c>
    </row>
    <row r="81">
      <c r="A81" t="inlineStr">
        <is>
          <t>AS008-FOREIGN_SOURCE_INCOME</t>
        </is>
      </c>
      <c r="C81" t="inlineStr">
        <is>
          <t>FOREIGN_SOURCE_INCOME</t>
        </is>
      </c>
      <c r="D81" t="n">
        <v>64.44</v>
      </c>
      <c r="E81" t="inlineStr">
        <is>
          <t>AUD</t>
        </is>
      </c>
      <c r="F81" t="inlineStr">
        <is>
          <t>AS008</t>
        </is>
      </c>
    </row>
    <row r="82">
      <c r="A82" t="inlineStr">
        <is>
          <t>AS008-INTEREST</t>
        </is>
      </c>
      <c r="C82" t="inlineStr">
        <is>
          <t>INTEREST</t>
        </is>
      </c>
      <c r="D82" t="n">
        <v>21.48</v>
      </c>
      <c r="E82" t="inlineStr">
        <is>
          <t>AUD</t>
        </is>
      </c>
      <c r="F82" t="inlineStr">
        <is>
          <t>AS008</t>
        </is>
      </c>
    </row>
    <row r="83">
      <c r="A83" t="inlineStr">
        <is>
          <t>AS008-FRANKING_CREDIT</t>
        </is>
      </c>
      <c r="C83" t="inlineStr">
        <is>
          <t>FRANKING_CREDIT</t>
        </is>
      </c>
      <c r="D83" t="n">
        <v>368.23</v>
      </c>
      <c r="E83" t="inlineStr">
        <is>
          <t>AUD</t>
        </is>
      </c>
      <c r="F83" t="inlineStr">
        <is>
          <t>AS008</t>
        </is>
      </c>
    </row>
    <row r="84">
      <c r="A84" t="inlineStr">
        <is>
          <t>AS008-FOREIGN_INCOME_TAX_OFFSET</t>
        </is>
      </c>
      <c r="C84" t="inlineStr">
        <is>
          <t>FOREIGN_INCOME_TAX_OFFSET</t>
        </is>
      </c>
      <c r="D84" t="n">
        <v>6.44</v>
      </c>
      <c r="E84" t="inlineStr">
        <is>
          <t>AUD</t>
        </is>
      </c>
      <c r="F84" t="inlineStr">
        <is>
          <t>AS008</t>
        </is>
      </c>
    </row>
    <row r="85">
      <c r="A85" t="inlineStr">
        <is>
          <t>AS008-COSTBASE_INCREASE</t>
        </is>
      </c>
      <c r="C85" t="inlineStr">
        <is>
          <t>COSTBASE_INCREASE</t>
        </is>
      </c>
      <c r="D85" t="n">
        <v>54.14</v>
      </c>
      <c r="E85" t="inlineStr">
        <is>
          <t>AUD</t>
        </is>
      </c>
      <c r="F85" t="inlineStr">
        <is>
          <t>AS008</t>
        </is>
      </c>
    </row>
    <row r="86">
      <c r="A86" t="inlineStr">
        <is>
          <t>AS009-DISCOUNTED_NTAP</t>
        </is>
      </c>
      <c r="C86" t="inlineStr">
        <is>
          <t>DISCOUNTED_NTAP</t>
        </is>
      </c>
      <c r="D86" t="n">
        <v>13.27</v>
      </c>
      <c r="E86" t="inlineStr">
        <is>
          <t>AUD</t>
        </is>
      </c>
      <c r="F86" t="inlineStr">
        <is>
          <t>AS009</t>
        </is>
      </c>
    </row>
    <row r="87">
      <c r="A87" t="inlineStr">
        <is>
          <t>AS009-OTHER_NTAP</t>
        </is>
      </c>
      <c r="C87" t="inlineStr">
        <is>
          <t>OTHER_NTAP</t>
        </is>
      </c>
      <c r="D87" t="n">
        <v>3.14</v>
      </c>
      <c r="E87" t="inlineStr">
        <is>
          <t>AUD</t>
        </is>
      </c>
      <c r="F87" t="inlineStr">
        <is>
          <t>AS009</t>
        </is>
      </c>
    </row>
    <row r="88">
      <c r="A88" t="inlineStr">
        <is>
          <t>AS009-AMIT_GROSS_UP</t>
        </is>
      </c>
      <c r="C88" t="inlineStr">
        <is>
          <t>AMIT_GROSS_UP</t>
        </is>
      </c>
      <c r="D88" t="n">
        <v>13.27</v>
      </c>
      <c r="E88" t="inlineStr">
        <is>
          <t>AUD</t>
        </is>
      </c>
      <c r="F88" t="inlineStr">
        <is>
          <t>AS009</t>
        </is>
      </c>
    </row>
    <row r="89">
      <c r="A89" t="inlineStr">
        <is>
          <t>AS009-TOTAL_CY_CG</t>
        </is>
      </c>
      <c r="C89" t="inlineStr">
        <is>
          <t>TOTAL_CY_CG</t>
        </is>
      </c>
      <c r="D89" t="n">
        <v>29.68</v>
      </c>
      <c r="E89" t="inlineStr">
        <is>
          <t>AUD</t>
        </is>
      </c>
      <c r="F89" t="inlineStr">
        <is>
          <t>AS009</t>
        </is>
      </c>
    </row>
    <row r="90">
      <c r="A90" t="inlineStr">
        <is>
          <t>AS009-FRANKED_DISTRIBUTION</t>
        </is>
      </c>
      <c r="C90" t="inlineStr">
        <is>
          <t>FRANKED_DISTRIBUTION</t>
        </is>
      </c>
      <c r="D90" t="n">
        <v>94.95999999999999</v>
      </c>
      <c r="E90" t="inlineStr">
        <is>
          <t>AUD</t>
        </is>
      </c>
      <c r="F90" t="inlineStr">
        <is>
          <t>AS009</t>
        </is>
      </c>
    </row>
    <row r="91">
      <c r="A91" t="inlineStr">
        <is>
          <t>AS009-UNFRANKED_DISTRIBUTION</t>
        </is>
      </c>
      <c r="C91" t="inlineStr">
        <is>
          <t>UNFRANKED_DISTRIBUTION</t>
        </is>
      </c>
      <c r="D91" t="n">
        <v>15.82</v>
      </c>
      <c r="E91" t="inlineStr">
        <is>
          <t>AUD</t>
        </is>
      </c>
      <c r="F91" t="inlineStr">
        <is>
          <t>AS009</t>
        </is>
      </c>
    </row>
    <row r="92">
      <c r="A92" t="inlineStr">
        <is>
          <t>AS009-FOREIGN_SOURCE_INCOME</t>
        </is>
      </c>
      <c r="C92" t="inlineStr">
        <is>
          <t>FOREIGN_SOURCE_INCOME</t>
        </is>
      </c>
      <c r="D92" t="n">
        <v>8.52</v>
      </c>
      <c r="E92" t="inlineStr">
        <is>
          <t>AUD</t>
        </is>
      </c>
      <c r="F92" t="inlineStr">
        <is>
          <t>AS009</t>
        </is>
      </c>
    </row>
    <row r="93">
      <c r="A93" t="inlineStr">
        <is>
          <t>AS009-INTEREST</t>
        </is>
      </c>
      <c r="C93" t="inlineStr">
        <is>
          <t>INTEREST</t>
        </is>
      </c>
      <c r="D93" t="n">
        <v>2.43</v>
      </c>
      <c r="E93" t="inlineStr">
        <is>
          <t>AUD</t>
        </is>
      </c>
      <c r="F93" t="inlineStr">
        <is>
          <t>AS009</t>
        </is>
      </c>
    </row>
    <row r="94">
      <c r="A94" t="inlineStr">
        <is>
          <t>AS009-FRANKING_CREDIT</t>
        </is>
      </c>
      <c r="C94" t="inlineStr">
        <is>
          <t>FRANKING_CREDIT</t>
        </is>
      </c>
      <c r="D94" t="n">
        <v>40.69</v>
      </c>
      <c r="E94" t="inlineStr">
        <is>
          <t>AUD</t>
        </is>
      </c>
      <c r="F94" t="inlineStr">
        <is>
          <t>AS009</t>
        </is>
      </c>
    </row>
    <row r="95">
      <c r="A95" t="inlineStr">
        <is>
          <t>AS009-FOREIGN_INCOME_TAX_OFFSET</t>
        </is>
      </c>
      <c r="C95" t="inlineStr">
        <is>
          <t>FOREIGN_INCOME_TAX_OFFSET</t>
        </is>
      </c>
      <c r="D95" t="n">
        <v>0.85</v>
      </c>
      <c r="E95" t="inlineStr">
        <is>
          <t>AUD</t>
        </is>
      </c>
      <c r="F95" t="inlineStr">
        <is>
          <t>AS009</t>
        </is>
      </c>
    </row>
    <row r="96">
      <c r="A96" t="inlineStr">
        <is>
          <t>AS009-COSTBASE_INCREASE</t>
        </is>
      </c>
      <c r="C96" t="inlineStr">
        <is>
          <t>COSTBASE_INCREASE</t>
        </is>
      </c>
      <c r="D96" t="n">
        <v>4.41</v>
      </c>
      <c r="E96" t="inlineStr">
        <is>
          <t>AUD</t>
        </is>
      </c>
      <c r="F96" t="inlineStr">
        <is>
          <t>AS009</t>
        </is>
      </c>
    </row>
    <row r="97">
      <c r="A97" t="inlineStr">
        <is>
          <t>AS010-DISCOUNTED_NTAP</t>
        </is>
      </c>
      <c r="C97" t="inlineStr">
        <is>
          <t>DISCOUNTED_NTAP</t>
        </is>
      </c>
      <c r="D97" t="n">
        <v>92.23</v>
      </c>
      <c r="E97" t="inlineStr">
        <is>
          <t>AUD</t>
        </is>
      </c>
      <c r="F97" t="inlineStr">
        <is>
          <t>AS010</t>
        </is>
      </c>
    </row>
    <row r="98">
      <c r="A98" t="inlineStr">
        <is>
          <t>AS010-OTHER_NTAP</t>
        </is>
      </c>
      <c r="C98" t="inlineStr">
        <is>
          <t>OTHER_NTAP</t>
        </is>
      </c>
      <c r="D98" t="n">
        <v>38.35</v>
      </c>
      <c r="E98" t="inlineStr">
        <is>
          <t>AUD</t>
        </is>
      </c>
      <c r="F98" t="inlineStr">
        <is>
          <t>AS010</t>
        </is>
      </c>
    </row>
    <row r="99">
      <c r="A99" t="inlineStr">
        <is>
          <t>AS010-AMIT_GROSS_UP</t>
        </is>
      </c>
      <c r="C99" t="inlineStr">
        <is>
          <t>AMIT_GROSS_UP</t>
        </is>
      </c>
      <c r="D99" t="n">
        <v>92.23</v>
      </c>
      <c r="E99" t="inlineStr">
        <is>
          <t>AUD</t>
        </is>
      </c>
      <c r="F99" t="inlineStr">
        <is>
          <t>AS010</t>
        </is>
      </c>
    </row>
    <row r="100">
      <c r="A100" t="inlineStr">
        <is>
          <t>AS010-TOTAL_CY_CG</t>
        </is>
      </c>
      <c r="C100" t="inlineStr">
        <is>
          <t>TOTAL_CY_CG</t>
        </is>
      </c>
      <c r="D100" t="n">
        <v>222.81</v>
      </c>
      <c r="E100" t="inlineStr">
        <is>
          <t>AUD</t>
        </is>
      </c>
      <c r="F100" t="inlineStr">
        <is>
          <t>AS010</t>
        </is>
      </c>
    </row>
    <row r="101">
      <c r="A101" t="inlineStr">
        <is>
          <t>AS010-FOREIGN_SOURCE_INCOME</t>
        </is>
      </c>
      <c r="C101" t="inlineStr">
        <is>
          <t>FOREIGN_SOURCE_INCOME</t>
        </is>
      </c>
      <c r="D101" t="n">
        <v>1713.15</v>
      </c>
      <c r="E101" t="inlineStr">
        <is>
          <t>AUD</t>
        </is>
      </c>
      <c r="F101" t="inlineStr">
        <is>
          <t>AS010</t>
        </is>
      </c>
    </row>
    <row r="102">
      <c r="A102" t="inlineStr">
        <is>
          <t>AS010-INTEREST</t>
        </is>
      </c>
      <c r="C102" t="inlineStr">
        <is>
          <t>INTEREST</t>
        </is>
      </c>
      <c r="D102" t="n">
        <v>91.12</v>
      </c>
      <c r="E102" t="inlineStr">
        <is>
          <t>AUD</t>
        </is>
      </c>
      <c r="F102" t="inlineStr">
        <is>
          <t>AS010</t>
        </is>
      </c>
    </row>
    <row r="103">
      <c r="A103" t="inlineStr">
        <is>
          <t>AS010-UNFRANKED_DISTRIBUTION</t>
        </is>
      </c>
      <c r="C103" t="inlineStr">
        <is>
          <t>UNFRANKED_DISTRIBUTION</t>
        </is>
      </c>
      <c r="D103" t="n">
        <v>18.22</v>
      </c>
      <c r="E103" t="inlineStr">
        <is>
          <t>AUD</t>
        </is>
      </c>
      <c r="F103" t="inlineStr">
        <is>
          <t>AS010</t>
        </is>
      </c>
    </row>
    <row r="104">
      <c r="A104" t="inlineStr">
        <is>
          <t>AS010-FOREIGN_INCOME_TAX_OFFSET</t>
        </is>
      </c>
      <c r="C104" t="inlineStr">
        <is>
          <t>FOREIGN_INCOME_TAX_OFFSET</t>
        </is>
      </c>
      <c r="D104" t="n">
        <v>171.31</v>
      </c>
      <c r="E104" t="inlineStr">
        <is>
          <t>AUD</t>
        </is>
      </c>
      <c r="F104" t="inlineStr">
        <is>
          <t>AS010</t>
        </is>
      </c>
    </row>
    <row r="105">
      <c r="A105" t="inlineStr">
        <is>
          <t>AS010-COSTBASE_INCREASE</t>
        </is>
      </c>
      <c r="C105" t="inlineStr">
        <is>
          <t>COSTBASE_INCREASE</t>
        </is>
      </c>
      <c r="D105" t="n">
        <v>167.97</v>
      </c>
      <c r="E105" t="inlineStr">
        <is>
          <t>AUD</t>
        </is>
      </c>
      <c r="F105" t="inlineStr">
        <is>
          <t>AS010</t>
        </is>
      </c>
    </row>
    <row r="106">
      <c r="A106" t="inlineStr">
        <is>
          <t>AS011-DISCOUNTED_TAP</t>
        </is>
      </c>
      <c r="C106" t="inlineStr">
        <is>
          <t>DISCOUNTED_TAP</t>
        </is>
      </c>
      <c r="D106" t="n">
        <v>6.4</v>
      </c>
      <c r="E106" t="inlineStr">
        <is>
          <t>AUD</t>
        </is>
      </c>
      <c r="F106" t="inlineStr">
        <is>
          <t>AS011</t>
        </is>
      </c>
    </row>
    <row r="107">
      <c r="A107" t="inlineStr">
        <is>
          <t>AS011-DISCOUNTED_NTAP</t>
        </is>
      </c>
      <c r="C107" t="inlineStr">
        <is>
          <t>DISCOUNTED_NTAP</t>
        </is>
      </c>
      <c r="D107" t="n">
        <v>110.27</v>
      </c>
      <c r="E107" t="inlineStr">
        <is>
          <t>AUD</t>
        </is>
      </c>
      <c r="F107" t="inlineStr">
        <is>
          <t>AS011</t>
        </is>
      </c>
    </row>
    <row r="108">
      <c r="A108" t="inlineStr">
        <is>
          <t>AS011-OTHER_NTAP</t>
        </is>
      </c>
      <c r="C108" t="inlineStr">
        <is>
          <t>OTHER_NTAP</t>
        </is>
      </c>
      <c r="D108" t="n">
        <v>48.72</v>
      </c>
      <c r="E108" t="inlineStr">
        <is>
          <t>AUD</t>
        </is>
      </c>
      <c r="F108" t="inlineStr">
        <is>
          <t>AS011</t>
        </is>
      </c>
    </row>
    <row r="109">
      <c r="A109" t="inlineStr">
        <is>
          <t>AS011-AMIT_GROSS_UP</t>
        </is>
      </c>
      <c r="C109" t="inlineStr">
        <is>
          <t>AMIT_GROSS_UP</t>
        </is>
      </c>
      <c r="D109" t="n">
        <v>116.67</v>
      </c>
      <c r="E109" t="inlineStr">
        <is>
          <t>AUD</t>
        </is>
      </c>
      <c r="F109" t="inlineStr">
        <is>
          <t>AS011</t>
        </is>
      </c>
    </row>
    <row r="110">
      <c r="A110" t="inlineStr">
        <is>
          <t>AS011-TOTAL_CY_CG</t>
        </is>
      </c>
      <c r="C110" t="inlineStr">
        <is>
          <t>TOTAL_CY_CG</t>
        </is>
      </c>
      <c r="D110" t="n">
        <v>282.06</v>
      </c>
      <c r="E110" t="inlineStr">
        <is>
          <t>AUD</t>
        </is>
      </c>
      <c r="F110" t="inlineStr">
        <is>
          <t>AS011</t>
        </is>
      </c>
    </row>
    <row r="111">
      <c r="A111" t="inlineStr">
        <is>
          <t>AS011-FRANKED_DISTRIBUTION</t>
        </is>
      </c>
      <c r="C111" t="inlineStr">
        <is>
          <t>FRANKED_DISTRIBUTION</t>
        </is>
      </c>
      <c r="D111" t="n">
        <v>883.76</v>
      </c>
      <c r="E111" t="inlineStr">
        <is>
          <t>AUD</t>
        </is>
      </c>
      <c r="F111" t="inlineStr">
        <is>
          <t>AS011</t>
        </is>
      </c>
    </row>
    <row r="112">
      <c r="A112" t="inlineStr">
        <is>
          <t>AS011-UNFRANKED_DISTRIBUTION</t>
        </is>
      </c>
      <c r="C112" t="inlineStr">
        <is>
          <t>UNFRANKED_DISTRIBUTION</t>
        </is>
      </c>
      <c r="D112" t="n">
        <v>132.56</v>
      </c>
      <c r="E112" t="inlineStr">
        <is>
          <t>AUD</t>
        </is>
      </c>
      <c r="F112" t="inlineStr">
        <is>
          <t>AS011</t>
        </is>
      </c>
    </row>
    <row r="113">
      <c r="A113" t="inlineStr">
        <is>
          <t>AS011-FOREIGN_SOURCE_INCOME</t>
        </is>
      </c>
      <c r="C113" t="inlineStr">
        <is>
          <t>FOREIGN_SOURCE_INCOME</t>
        </is>
      </c>
      <c r="D113" t="n">
        <v>66.28</v>
      </c>
      <c r="E113" t="inlineStr">
        <is>
          <t>AUD</t>
        </is>
      </c>
      <c r="F113" t="inlineStr">
        <is>
          <t>AS011</t>
        </is>
      </c>
    </row>
    <row r="114">
      <c r="A114" t="inlineStr">
        <is>
          <t>AS011-INTEREST</t>
        </is>
      </c>
      <c r="C114" t="inlineStr">
        <is>
          <t>INTEREST</t>
        </is>
      </c>
      <c r="D114" t="n">
        <v>22.09</v>
      </c>
      <c r="E114" t="inlineStr">
        <is>
          <t>AUD</t>
        </is>
      </c>
      <c r="F114" t="inlineStr">
        <is>
          <t>AS011</t>
        </is>
      </c>
    </row>
    <row r="115">
      <c r="A115" t="inlineStr">
        <is>
          <t>AS011-FRANKING_CREDIT</t>
        </is>
      </c>
      <c r="C115" t="inlineStr">
        <is>
          <t>FRANKING_CREDIT</t>
        </is>
      </c>
      <c r="D115" t="n">
        <v>378.75</v>
      </c>
      <c r="E115" t="inlineStr">
        <is>
          <t>AUD</t>
        </is>
      </c>
      <c r="F115" t="inlineStr">
        <is>
          <t>AS011</t>
        </is>
      </c>
    </row>
    <row r="116">
      <c r="A116" t="inlineStr">
        <is>
          <t>AS011-FOREIGN_INCOME_TAX_OFFSET</t>
        </is>
      </c>
      <c r="C116" t="inlineStr">
        <is>
          <t>FOREIGN_INCOME_TAX_OFFSET</t>
        </is>
      </c>
      <c r="D116" t="n">
        <v>6.63</v>
      </c>
      <c r="E116" t="inlineStr">
        <is>
          <t>AUD</t>
        </is>
      </c>
      <c r="F116" t="inlineStr">
        <is>
          <t>AS011</t>
        </is>
      </c>
    </row>
    <row r="117">
      <c r="A117" t="inlineStr">
        <is>
          <t>AS011-COSTBASE_INCREASE</t>
        </is>
      </c>
      <c r="C117" t="inlineStr">
        <is>
          <t>COSTBASE_INCREASE</t>
        </is>
      </c>
      <c r="D117" t="n">
        <v>48.94</v>
      </c>
      <c r="E117" t="inlineStr">
        <is>
          <t>AUD</t>
        </is>
      </c>
      <c r="F117" t="inlineStr">
        <is>
          <t>AS011</t>
        </is>
      </c>
    </row>
    <row r="118">
      <c r="A118" t="inlineStr">
        <is>
          <t>AS012-DISCOUNTED_NTAP</t>
        </is>
      </c>
      <c r="C118" t="inlineStr">
        <is>
          <t>DISCOUNTED_NTAP</t>
        </is>
      </c>
      <c r="D118" t="n">
        <v>222.53</v>
      </c>
      <c r="E118" t="inlineStr">
        <is>
          <t>AUD</t>
        </is>
      </c>
      <c r="F118" t="inlineStr">
        <is>
          <t>AS012</t>
        </is>
      </c>
    </row>
    <row r="119">
      <c r="A119" t="inlineStr">
        <is>
          <t>AS012-OTHER_NTAP</t>
        </is>
      </c>
      <c r="C119" t="inlineStr">
        <is>
          <t>OTHER_NTAP</t>
        </is>
      </c>
      <c r="D119" t="n">
        <v>15.32</v>
      </c>
      <c r="E119" t="inlineStr">
        <is>
          <t>AUD</t>
        </is>
      </c>
      <c r="F119" t="inlineStr">
        <is>
          <t>AS012</t>
        </is>
      </c>
    </row>
    <row r="120">
      <c r="A120" t="inlineStr">
        <is>
          <t>AS012-AMIT_GROSS_UP</t>
        </is>
      </c>
      <c r="C120" t="inlineStr">
        <is>
          <t>AMIT_GROSS_UP</t>
        </is>
      </c>
      <c r="D120" t="n">
        <v>222.53</v>
      </c>
      <c r="E120" t="inlineStr">
        <is>
          <t>AUD</t>
        </is>
      </c>
      <c r="F120" t="inlineStr">
        <is>
          <t>AS012</t>
        </is>
      </c>
    </row>
    <row r="121">
      <c r="A121" t="inlineStr">
        <is>
          <t>AS012-TOTAL_CY_CG</t>
        </is>
      </c>
      <c r="C121" t="inlineStr">
        <is>
          <t>TOTAL_CY_CG</t>
        </is>
      </c>
      <c r="D121" t="n">
        <v>460.38</v>
      </c>
      <c r="E121" t="inlineStr">
        <is>
          <t>AUD</t>
        </is>
      </c>
      <c r="F121" t="inlineStr">
        <is>
          <t>AS012</t>
        </is>
      </c>
    </row>
    <row r="122">
      <c r="A122" t="inlineStr">
        <is>
          <t>AS012-FOREIGN_SOURCE_INCOME</t>
        </is>
      </c>
      <c r="C122" t="inlineStr">
        <is>
          <t>FOREIGN_SOURCE_INCOME</t>
        </is>
      </c>
      <c r="D122" t="n">
        <v>1499.98</v>
      </c>
      <c r="E122" t="inlineStr">
        <is>
          <t>AUD</t>
        </is>
      </c>
      <c r="F122" t="inlineStr">
        <is>
          <t>AS012</t>
        </is>
      </c>
    </row>
    <row r="123">
      <c r="A123" t="inlineStr">
        <is>
          <t>AS012-INTEREST</t>
        </is>
      </c>
      <c r="C123" t="inlineStr">
        <is>
          <t>INTEREST</t>
        </is>
      </c>
      <c r="D123" t="n">
        <v>79.79000000000001</v>
      </c>
      <c r="E123" t="inlineStr">
        <is>
          <t>AUD</t>
        </is>
      </c>
      <c r="F123" t="inlineStr">
        <is>
          <t>AS012</t>
        </is>
      </c>
    </row>
    <row r="124">
      <c r="A124" t="inlineStr">
        <is>
          <t>AS012-UNFRANKED_DISTRIBUTION</t>
        </is>
      </c>
      <c r="C124" t="inlineStr">
        <is>
          <t>UNFRANKED_DISTRIBUTION</t>
        </is>
      </c>
      <c r="D124" t="n">
        <v>15.96</v>
      </c>
      <c r="E124" t="inlineStr">
        <is>
          <t>AUD</t>
        </is>
      </c>
      <c r="F124" t="inlineStr">
        <is>
          <t>AS012</t>
        </is>
      </c>
    </row>
    <row r="125">
      <c r="A125" t="inlineStr">
        <is>
          <t>AS012-FOREIGN_INCOME_TAX_OFFSET</t>
        </is>
      </c>
      <c r="C125" t="inlineStr">
        <is>
          <t>FOREIGN_INCOME_TAX_OFFSET</t>
        </is>
      </c>
      <c r="D125" t="n">
        <v>150</v>
      </c>
      <c r="E125" t="inlineStr">
        <is>
          <t>AUD</t>
        </is>
      </c>
      <c r="F125" t="inlineStr">
        <is>
          <t>AS012</t>
        </is>
      </c>
    </row>
    <row r="126">
      <c r="A126" t="inlineStr">
        <is>
          <t>AS012-COSTBASE_INCREASE</t>
        </is>
      </c>
      <c r="C126" t="inlineStr">
        <is>
          <t>COSTBASE_INCREASE</t>
        </is>
      </c>
      <c r="D126" t="n">
        <v>99.95999999999999</v>
      </c>
      <c r="E126" t="inlineStr">
        <is>
          <t>AUD</t>
        </is>
      </c>
      <c r="F126" t="inlineStr">
        <is>
          <t>AS012</t>
        </is>
      </c>
    </row>
    <row r="127">
      <c r="A127" t="inlineStr">
        <is>
          <t>AS013-DISCOUNTED_TAP</t>
        </is>
      </c>
      <c r="C127" t="inlineStr">
        <is>
          <t>DISCOUNTED_TAP</t>
        </is>
      </c>
      <c r="D127" t="n">
        <v>11.55</v>
      </c>
      <c r="E127" t="inlineStr">
        <is>
          <t>AUD</t>
        </is>
      </c>
      <c r="F127" t="inlineStr">
        <is>
          <t>AS013</t>
        </is>
      </c>
    </row>
    <row r="128">
      <c r="A128" t="inlineStr">
        <is>
          <t>AS013-DISCOUNTED_NTAP</t>
        </is>
      </c>
      <c r="C128" t="inlineStr">
        <is>
          <t>DISCOUNTED_NTAP</t>
        </is>
      </c>
      <c r="D128" t="n">
        <v>197.74</v>
      </c>
      <c r="E128" t="inlineStr">
        <is>
          <t>AUD</t>
        </is>
      </c>
      <c r="F128" t="inlineStr">
        <is>
          <t>AS013</t>
        </is>
      </c>
    </row>
    <row r="129">
      <c r="A129" t="inlineStr">
        <is>
          <t>AS013-OTHER_NTAP</t>
        </is>
      </c>
      <c r="C129" t="inlineStr">
        <is>
          <t>OTHER_NTAP</t>
        </is>
      </c>
      <c r="D129" t="n">
        <v>80.42</v>
      </c>
      <c r="E129" t="inlineStr">
        <is>
          <t>AUD</t>
        </is>
      </c>
      <c r="F129" t="inlineStr">
        <is>
          <t>AS013</t>
        </is>
      </c>
    </row>
    <row r="130">
      <c r="A130" t="inlineStr">
        <is>
          <t>AS013-AMIT_GROSS_UP</t>
        </is>
      </c>
      <c r="C130" t="inlineStr">
        <is>
          <t>AMIT_GROSS_UP</t>
        </is>
      </c>
      <c r="D130" t="n">
        <v>209.29</v>
      </c>
      <c r="E130" t="inlineStr">
        <is>
          <t>AUD</t>
        </is>
      </c>
      <c r="F130" t="inlineStr">
        <is>
          <t>AS013</t>
        </is>
      </c>
    </row>
    <row r="131">
      <c r="A131" t="inlineStr">
        <is>
          <t>AS013-TOTAL_CY_CG</t>
        </is>
      </c>
      <c r="C131" t="inlineStr">
        <is>
          <t>TOTAL_CY_CG</t>
        </is>
      </c>
      <c r="D131" t="n">
        <v>499</v>
      </c>
      <c r="E131" t="inlineStr">
        <is>
          <t>AUD</t>
        </is>
      </c>
      <c r="F131" t="inlineStr">
        <is>
          <t>AS013</t>
        </is>
      </c>
    </row>
    <row r="132">
      <c r="A132" t="inlineStr">
        <is>
          <t>AS013-FRANKED_DISTRIBUTION</t>
        </is>
      </c>
      <c r="C132" t="inlineStr">
        <is>
          <t>FRANKED_DISTRIBUTION</t>
        </is>
      </c>
      <c r="D132" t="n">
        <v>2056.68</v>
      </c>
      <c r="E132" t="inlineStr">
        <is>
          <t>AUD</t>
        </is>
      </c>
      <c r="F132" t="inlineStr">
        <is>
          <t>AS013</t>
        </is>
      </c>
    </row>
    <row r="133">
      <c r="A133" t="inlineStr">
        <is>
          <t>AS013-UNFRANKED_DISTRIBUTION</t>
        </is>
      </c>
      <c r="C133" t="inlineStr">
        <is>
          <t>UNFRANKED_DISTRIBUTION</t>
        </is>
      </c>
      <c r="D133" t="n">
        <v>308.5</v>
      </c>
      <c r="E133" t="inlineStr">
        <is>
          <t>AUD</t>
        </is>
      </c>
      <c r="F133" t="inlineStr">
        <is>
          <t>AS013</t>
        </is>
      </c>
    </row>
    <row r="134">
      <c r="A134" t="inlineStr">
        <is>
          <t>AS013-FOREIGN_SOURCE_INCOME</t>
        </is>
      </c>
      <c r="C134" t="inlineStr">
        <is>
          <t>FOREIGN_SOURCE_INCOME</t>
        </is>
      </c>
      <c r="D134" t="n">
        <v>154.25</v>
      </c>
      <c r="E134" t="inlineStr">
        <is>
          <t>AUD</t>
        </is>
      </c>
      <c r="F134" t="inlineStr">
        <is>
          <t>AS013</t>
        </is>
      </c>
    </row>
    <row r="135">
      <c r="A135" t="inlineStr">
        <is>
          <t>AS013-INTEREST</t>
        </is>
      </c>
      <c r="C135" t="inlineStr">
        <is>
          <t>INTEREST</t>
        </is>
      </c>
      <c r="D135" t="n">
        <v>51.42</v>
      </c>
      <c r="E135" t="inlineStr">
        <is>
          <t>AUD</t>
        </is>
      </c>
      <c r="F135" t="inlineStr">
        <is>
          <t>AS013</t>
        </is>
      </c>
    </row>
    <row r="136">
      <c r="A136" t="inlineStr">
        <is>
          <t>AS013-FRANKING_CREDIT</t>
        </is>
      </c>
      <c r="C136" t="inlineStr">
        <is>
          <t>FRANKING_CREDIT</t>
        </is>
      </c>
      <c r="D136" t="n">
        <v>881.4299999999999</v>
      </c>
      <c r="E136" t="inlineStr">
        <is>
          <t>AUD</t>
        </is>
      </c>
      <c r="F136" t="inlineStr">
        <is>
          <t>AS013</t>
        </is>
      </c>
    </row>
    <row r="137">
      <c r="A137" t="inlineStr">
        <is>
          <t>AS013-FOREIGN_INCOME_TAX_OFFSET</t>
        </is>
      </c>
      <c r="C137" t="inlineStr">
        <is>
          <t>FOREIGN_INCOME_TAX_OFFSET</t>
        </is>
      </c>
      <c r="D137" t="n">
        <v>15.43</v>
      </c>
      <c r="E137" t="inlineStr">
        <is>
          <t>AUD</t>
        </is>
      </c>
      <c r="F137" t="inlineStr">
        <is>
          <t>AS013</t>
        </is>
      </c>
    </row>
    <row r="138">
      <c r="A138" t="inlineStr">
        <is>
          <t>AS013-COSTBASE_INCREASE</t>
        </is>
      </c>
      <c r="C138" t="inlineStr">
        <is>
          <t>COSTBASE_INCREASE</t>
        </is>
      </c>
      <c r="D138" t="n">
        <v>147.91</v>
      </c>
      <c r="E138" t="inlineStr">
        <is>
          <t>AUD</t>
        </is>
      </c>
      <c r="F138" t="inlineStr">
        <is>
          <t>AS013</t>
        </is>
      </c>
    </row>
    <row r="139">
      <c r="A139" t="inlineStr">
        <is>
          <t>AS014-DISCOUNTED_NTAP</t>
        </is>
      </c>
      <c r="C139" t="inlineStr">
        <is>
          <t>DISCOUNTED_NTAP</t>
        </is>
      </c>
      <c r="D139" t="n">
        <v>174.24</v>
      </c>
      <c r="E139" t="inlineStr">
        <is>
          <t>AUD</t>
        </is>
      </c>
      <c r="F139" t="inlineStr">
        <is>
          <t>AS014</t>
        </is>
      </c>
    </row>
    <row r="140">
      <c r="A140" t="inlineStr">
        <is>
          <t>AS014-OTHER_NTAP</t>
        </is>
      </c>
      <c r="C140" t="inlineStr">
        <is>
          <t>OTHER_NTAP</t>
        </is>
      </c>
      <c r="D140" t="n">
        <v>67.15000000000001</v>
      </c>
      <c r="E140" t="inlineStr">
        <is>
          <t>AUD</t>
        </is>
      </c>
      <c r="F140" t="inlineStr">
        <is>
          <t>AS014</t>
        </is>
      </c>
    </row>
    <row r="141">
      <c r="A141" t="inlineStr">
        <is>
          <t>AS014-AMIT_GROSS_UP</t>
        </is>
      </c>
      <c r="C141" t="inlineStr">
        <is>
          <t>AMIT_GROSS_UP</t>
        </is>
      </c>
      <c r="D141" t="n">
        <v>174.24</v>
      </c>
      <c r="E141" t="inlineStr">
        <is>
          <t>AUD</t>
        </is>
      </c>
      <c r="F141" t="inlineStr">
        <is>
          <t>AS014</t>
        </is>
      </c>
    </row>
    <row r="142">
      <c r="A142" t="inlineStr">
        <is>
          <t>AS014-TOTAL_CY_CG</t>
        </is>
      </c>
      <c r="C142" t="inlineStr">
        <is>
          <t>TOTAL_CY_CG</t>
        </is>
      </c>
      <c r="D142" t="n">
        <v>415.63</v>
      </c>
      <c r="E142" t="inlineStr">
        <is>
          <t>AUD</t>
        </is>
      </c>
      <c r="F142" t="inlineStr">
        <is>
          <t>AS014</t>
        </is>
      </c>
    </row>
    <row r="143">
      <c r="A143" t="inlineStr">
        <is>
          <t>AS014-FOREIGN_SOURCE_INCOME</t>
        </is>
      </c>
      <c r="C143" t="inlineStr">
        <is>
          <t>FOREIGN_SOURCE_INCOME</t>
        </is>
      </c>
      <c r="D143" t="n">
        <v>2371.23</v>
      </c>
      <c r="E143" t="inlineStr">
        <is>
          <t>AUD</t>
        </is>
      </c>
      <c r="F143" t="inlineStr">
        <is>
          <t>AS014</t>
        </is>
      </c>
    </row>
    <row r="144">
      <c r="A144" t="inlineStr">
        <is>
          <t>AS014-INTEREST</t>
        </is>
      </c>
      <c r="C144" t="inlineStr">
        <is>
          <t>INTEREST</t>
        </is>
      </c>
      <c r="D144" t="n">
        <v>126.13</v>
      </c>
      <c r="E144" t="inlineStr">
        <is>
          <t>AUD</t>
        </is>
      </c>
      <c r="F144" t="inlineStr">
        <is>
          <t>AS014</t>
        </is>
      </c>
    </row>
    <row r="145">
      <c r="A145" t="inlineStr">
        <is>
          <t>AS014-UNFRANKED_DISTRIBUTION</t>
        </is>
      </c>
      <c r="C145" t="inlineStr">
        <is>
          <t>UNFRANKED_DISTRIBUTION</t>
        </is>
      </c>
      <c r="D145" t="n">
        <v>25.23</v>
      </c>
      <c r="E145" t="inlineStr">
        <is>
          <t>AUD</t>
        </is>
      </c>
      <c r="F145" t="inlineStr">
        <is>
          <t>AS014</t>
        </is>
      </c>
    </row>
    <row r="146">
      <c r="A146" t="inlineStr">
        <is>
          <t>AS014-FOREIGN_INCOME_TAX_OFFSET</t>
        </is>
      </c>
      <c r="C146" t="inlineStr">
        <is>
          <t>FOREIGN_INCOME_TAX_OFFSET</t>
        </is>
      </c>
      <c r="D146" t="n">
        <v>237.12</v>
      </c>
      <c r="E146" t="inlineStr">
        <is>
          <t>AUD</t>
        </is>
      </c>
      <c r="F146" t="inlineStr">
        <is>
          <t>AS014</t>
        </is>
      </c>
    </row>
    <row r="147">
      <c r="A147" t="inlineStr">
        <is>
          <t>AS014-COSTBASE_INCREASE</t>
        </is>
      </c>
      <c r="C147" t="inlineStr">
        <is>
          <t>COSTBASE_INCREASE</t>
        </is>
      </c>
      <c r="D147" t="n">
        <v>189.54</v>
      </c>
      <c r="E147" t="inlineStr">
        <is>
          <t>AUD</t>
        </is>
      </c>
      <c r="F147" t="inlineStr">
        <is>
          <t>AS014</t>
        </is>
      </c>
    </row>
    <row r="148">
      <c r="A148" t="inlineStr">
        <is>
          <t>AS015-DISCOUNTED_TAP</t>
        </is>
      </c>
      <c r="C148" t="inlineStr">
        <is>
          <t>DISCOUNTED_TAP</t>
        </is>
      </c>
      <c r="D148" t="n">
        <v>39.27</v>
      </c>
      <c r="E148" t="inlineStr">
        <is>
          <t>AUD</t>
        </is>
      </c>
      <c r="F148" t="inlineStr">
        <is>
          <t>AS015</t>
        </is>
      </c>
    </row>
    <row r="149">
      <c r="A149" t="inlineStr">
        <is>
          <t>AS015-DISCOUNTED_NTAP</t>
        </is>
      </c>
      <c r="C149" t="inlineStr">
        <is>
          <t>DISCOUNTED_NTAP</t>
        </is>
      </c>
      <c r="D149" t="n">
        <v>460.39</v>
      </c>
      <c r="E149" t="inlineStr">
        <is>
          <t>AUD</t>
        </is>
      </c>
      <c r="F149" t="inlineStr">
        <is>
          <t>AS015</t>
        </is>
      </c>
    </row>
    <row r="150">
      <c r="A150" t="inlineStr">
        <is>
          <t>AS015-OTHER_NTAP</t>
        </is>
      </c>
      <c r="C150" t="inlineStr">
        <is>
          <t>OTHER_NTAP</t>
        </is>
      </c>
      <c r="D150" t="n">
        <v>90.67</v>
      </c>
      <c r="E150" t="inlineStr">
        <is>
          <t>AUD</t>
        </is>
      </c>
      <c r="F150" t="inlineStr">
        <is>
          <t>AS015</t>
        </is>
      </c>
    </row>
    <row r="151">
      <c r="A151" t="inlineStr">
        <is>
          <t>AS015-AMIT_GROSS_UP</t>
        </is>
      </c>
      <c r="C151" t="inlineStr">
        <is>
          <t>AMIT_GROSS_UP</t>
        </is>
      </c>
      <c r="D151" t="n">
        <v>499.66</v>
      </c>
      <c r="E151" t="inlineStr">
        <is>
          <t>AUD</t>
        </is>
      </c>
      <c r="F151" t="inlineStr">
        <is>
          <t>AS015</t>
        </is>
      </c>
    </row>
    <row r="152">
      <c r="A152" t="inlineStr">
        <is>
          <t>AS015-TOTAL_CY_CG</t>
        </is>
      </c>
      <c r="C152" t="inlineStr">
        <is>
          <t>TOTAL_CY_CG</t>
        </is>
      </c>
      <c r="D152" t="n">
        <v>1089.99</v>
      </c>
      <c r="E152" t="inlineStr">
        <is>
          <t>AUD</t>
        </is>
      </c>
      <c r="F152" t="inlineStr">
        <is>
          <t>AS015</t>
        </is>
      </c>
    </row>
    <row r="153">
      <c r="A153" t="inlineStr">
        <is>
          <t>AS015-FRANKED_DISTRIBUTION</t>
        </is>
      </c>
      <c r="C153" t="inlineStr">
        <is>
          <t>FRANKED_DISTRIBUTION</t>
        </is>
      </c>
      <c r="D153" t="n">
        <v>3259.87</v>
      </c>
      <c r="E153" t="inlineStr">
        <is>
          <t>AUD</t>
        </is>
      </c>
      <c r="F153" t="inlineStr">
        <is>
          <t>AS015</t>
        </is>
      </c>
    </row>
    <row r="154">
      <c r="A154" t="inlineStr">
        <is>
          <t>AS015-UNFRANKED_DISTRIBUTION</t>
        </is>
      </c>
      <c r="C154" t="inlineStr">
        <is>
          <t>UNFRANKED_DISTRIBUTION</t>
        </is>
      </c>
      <c r="D154" t="n">
        <v>488.98</v>
      </c>
      <c r="E154" t="inlineStr">
        <is>
          <t>AUD</t>
        </is>
      </c>
      <c r="F154" t="inlineStr">
        <is>
          <t>AS015</t>
        </is>
      </c>
    </row>
    <row r="155">
      <c r="A155" t="inlineStr">
        <is>
          <t>AS015-FOREIGN_SOURCE_INCOME</t>
        </is>
      </c>
      <c r="C155" t="inlineStr">
        <is>
          <t>FOREIGN_SOURCE_INCOME</t>
        </is>
      </c>
      <c r="D155" t="n">
        <v>244.49</v>
      </c>
      <c r="E155" t="inlineStr">
        <is>
          <t>AUD</t>
        </is>
      </c>
      <c r="F155" t="inlineStr">
        <is>
          <t>AS015</t>
        </is>
      </c>
    </row>
    <row r="156">
      <c r="A156" t="inlineStr">
        <is>
          <t>AS015-INTEREST</t>
        </is>
      </c>
      <c r="C156" t="inlineStr">
        <is>
          <t>INTEREST</t>
        </is>
      </c>
      <c r="D156" t="n">
        <v>81.5</v>
      </c>
      <c r="E156" t="inlineStr">
        <is>
          <t>AUD</t>
        </is>
      </c>
      <c r="F156" t="inlineStr">
        <is>
          <t>AS015</t>
        </is>
      </c>
    </row>
    <row r="157">
      <c r="A157" t="inlineStr">
        <is>
          <t>AS015-FRANKING_CREDIT</t>
        </is>
      </c>
      <c r="C157" t="inlineStr">
        <is>
          <t>FRANKING_CREDIT</t>
        </is>
      </c>
      <c r="D157" t="n">
        <v>1397.09</v>
      </c>
      <c r="E157" t="inlineStr">
        <is>
          <t>AUD</t>
        </is>
      </c>
      <c r="F157" t="inlineStr">
        <is>
          <t>AS015</t>
        </is>
      </c>
    </row>
    <row r="158">
      <c r="A158" t="inlineStr">
        <is>
          <t>AS015-FOREIGN_INCOME_TAX_OFFSET</t>
        </is>
      </c>
      <c r="C158" t="inlineStr">
        <is>
          <t>FOREIGN_INCOME_TAX_OFFSET</t>
        </is>
      </c>
      <c r="D158" t="n">
        <v>24.45</v>
      </c>
      <c r="E158" t="inlineStr">
        <is>
          <t>AUD</t>
        </is>
      </c>
      <c r="F158" t="inlineStr">
        <is>
          <t>AS015</t>
        </is>
      </c>
    </row>
    <row r="159">
      <c r="A159" t="inlineStr">
        <is>
          <t>AS015-COSTBASE_DECREASE</t>
        </is>
      </c>
      <c r="C159" t="inlineStr">
        <is>
          <t>COSTBASE_DECREASE</t>
        </is>
      </c>
      <c r="D159" t="n">
        <v>416.72</v>
      </c>
      <c r="E159" t="inlineStr">
        <is>
          <t>AUD</t>
        </is>
      </c>
      <c r="F159" t="inlineStr">
        <is>
          <t>AS015</t>
        </is>
      </c>
    </row>
    <row r="160">
      <c r="A160" t="inlineStr">
        <is>
          <t>AS016-DISCOUNTED_NTAP</t>
        </is>
      </c>
      <c r="C160" t="inlineStr">
        <is>
          <t>DISCOUNTED_NTAP</t>
        </is>
      </c>
      <c r="D160" t="n">
        <v>54.29</v>
      </c>
      <c r="E160" t="inlineStr">
        <is>
          <t>AUD</t>
        </is>
      </c>
      <c r="F160" t="inlineStr">
        <is>
          <t>AS016</t>
        </is>
      </c>
    </row>
    <row r="161">
      <c r="A161" t="inlineStr">
        <is>
          <t>AS016-OTHER_NTAP</t>
        </is>
      </c>
      <c r="C161" t="inlineStr">
        <is>
          <t>OTHER_NTAP</t>
        </is>
      </c>
      <c r="D161" t="n">
        <v>19.21</v>
      </c>
      <c r="E161" t="inlineStr">
        <is>
          <t>AUD</t>
        </is>
      </c>
      <c r="F161" t="inlineStr">
        <is>
          <t>AS016</t>
        </is>
      </c>
    </row>
    <row r="162">
      <c r="A162" t="inlineStr">
        <is>
          <t>AS016-AMIT_GROSS_UP</t>
        </is>
      </c>
      <c r="C162" t="inlineStr">
        <is>
          <t>AMIT_GROSS_UP</t>
        </is>
      </c>
      <c r="D162" t="n">
        <v>54.29</v>
      </c>
      <c r="E162" t="inlineStr">
        <is>
          <t>AUD</t>
        </is>
      </c>
      <c r="F162" t="inlineStr">
        <is>
          <t>AS016</t>
        </is>
      </c>
    </row>
    <row r="163">
      <c r="A163" t="inlineStr">
        <is>
          <t>AS016-TOTAL_CY_CG</t>
        </is>
      </c>
      <c r="C163" t="inlineStr">
        <is>
          <t>TOTAL_CY_CG</t>
        </is>
      </c>
      <c r="D163" t="n">
        <v>127.79</v>
      </c>
      <c r="E163" t="inlineStr">
        <is>
          <t>AUD</t>
        </is>
      </c>
      <c r="F163" t="inlineStr">
        <is>
          <t>AS016</t>
        </is>
      </c>
    </row>
    <row r="164">
      <c r="A164" t="inlineStr">
        <is>
          <t>AS016-FOREIGN_SOURCE_INCOME</t>
        </is>
      </c>
      <c r="C164" t="inlineStr">
        <is>
          <t>FOREIGN_SOURCE_INCOME</t>
        </is>
      </c>
      <c r="D164" t="n">
        <v>1874.64</v>
      </c>
      <c r="E164" t="inlineStr">
        <is>
          <t>AUD</t>
        </is>
      </c>
      <c r="F164" t="inlineStr">
        <is>
          <t>AS016</t>
        </is>
      </c>
    </row>
    <row r="165">
      <c r="A165" t="inlineStr">
        <is>
          <t>AS016-INTEREST</t>
        </is>
      </c>
      <c r="C165" t="inlineStr">
        <is>
          <t>INTEREST</t>
        </is>
      </c>
      <c r="D165" t="n">
        <v>99.70999999999999</v>
      </c>
      <c r="E165" t="inlineStr">
        <is>
          <t>AUD</t>
        </is>
      </c>
      <c r="F165" t="inlineStr">
        <is>
          <t>AS016</t>
        </is>
      </c>
    </row>
    <row r="166">
      <c r="A166" t="inlineStr">
        <is>
          <t>AS016-UNFRANKED_DISTRIBUTION</t>
        </is>
      </c>
      <c r="C166" t="inlineStr">
        <is>
          <t>UNFRANKED_DISTRIBUTION</t>
        </is>
      </c>
      <c r="D166" t="n">
        <v>19.94</v>
      </c>
      <c r="E166" t="inlineStr">
        <is>
          <t>AUD</t>
        </is>
      </c>
      <c r="F166" t="inlineStr">
        <is>
          <t>AS016</t>
        </is>
      </c>
    </row>
    <row r="167">
      <c r="A167" t="inlineStr">
        <is>
          <t>AS016-FOREIGN_INCOME_TAX_OFFSET</t>
        </is>
      </c>
      <c r="C167" t="inlineStr">
        <is>
          <t>FOREIGN_INCOME_TAX_OFFSET</t>
        </is>
      </c>
      <c r="D167" t="n">
        <v>187.46</v>
      </c>
      <c r="E167" t="inlineStr">
        <is>
          <t>AUD</t>
        </is>
      </c>
      <c r="F167" t="inlineStr">
        <is>
          <t>AS016</t>
        </is>
      </c>
    </row>
    <row r="168">
      <c r="A168" t="inlineStr">
        <is>
          <t>AS016-COSTBASE_DECREASE</t>
        </is>
      </c>
      <c r="C168" t="inlineStr">
        <is>
          <t>COSTBASE_DECREASE</t>
        </is>
      </c>
      <c r="D168" t="n">
        <v>89.95999999999999</v>
      </c>
      <c r="E168" t="inlineStr">
        <is>
          <t>AUD</t>
        </is>
      </c>
      <c r="F168" t="inlineStr">
        <is>
          <t>AS016</t>
        </is>
      </c>
    </row>
    <row r="169">
      <c r="A169" t="inlineStr">
        <is>
          <t>AS017-DISCOUNTED_TAP</t>
        </is>
      </c>
      <c r="C169" t="inlineStr">
        <is>
          <t>DISCOUNTED_TAP</t>
        </is>
      </c>
      <c r="D169" t="n">
        <v>8.140000000000001</v>
      </c>
      <c r="E169" t="inlineStr">
        <is>
          <t>AUD</t>
        </is>
      </c>
      <c r="F169" t="inlineStr">
        <is>
          <t>AS017</t>
        </is>
      </c>
    </row>
    <row r="170">
      <c r="A170" t="inlineStr">
        <is>
          <t>AS017-DISCOUNTED_NTAP</t>
        </is>
      </c>
      <c r="C170" t="inlineStr">
        <is>
          <t>DISCOUNTED_NTAP</t>
        </is>
      </c>
      <c r="D170" t="n">
        <v>222.23</v>
      </c>
      <c r="E170" t="inlineStr">
        <is>
          <t>AUD</t>
        </is>
      </c>
      <c r="F170" t="inlineStr">
        <is>
          <t>AS017</t>
        </is>
      </c>
    </row>
    <row r="171">
      <c r="A171" t="inlineStr">
        <is>
          <t>AS017-OTHER_NTAP</t>
        </is>
      </c>
      <c r="C171" t="inlineStr">
        <is>
          <t>OTHER_NTAP</t>
        </is>
      </c>
      <c r="D171" t="n">
        <v>37.27</v>
      </c>
      <c r="E171" t="inlineStr">
        <is>
          <t>AUD</t>
        </is>
      </c>
      <c r="F171" t="inlineStr">
        <is>
          <t>AS017</t>
        </is>
      </c>
    </row>
    <row r="172">
      <c r="A172" t="inlineStr">
        <is>
          <t>AS017-AMIT_GROSS_UP</t>
        </is>
      </c>
      <c r="C172" t="inlineStr">
        <is>
          <t>AMIT_GROSS_UP</t>
        </is>
      </c>
      <c r="D172" t="n">
        <v>230.37</v>
      </c>
      <c r="E172" t="inlineStr">
        <is>
          <t>AUD</t>
        </is>
      </c>
      <c r="F172" t="inlineStr">
        <is>
          <t>AS017</t>
        </is>
      </c>
    </row>
    <row r="173">
      <c r="A173" t="inlineStr">
        <is>
          <t>AS017-TOTAL_CY_CG</t>
        </is>
      </c>
      <c r="C173" t="inlineStr">
        <is>
          <t>TOTAL_CY_CG</t>
        </is>
      </c>
      <c r="D173" t="n">
        <v>498.01</v>
      </c>
      <c r="E173" t="inlineStr">
        <is>
          <t>AUD</t>
        </is>
      </c>
      <c r="F173" t="inlineStr">
        <is>
          <t>AS017</t>
        </is>
      </c>
    </row>
    <row r="174">
      <c r="A174" t="inlineStr">
        <is>
          <t>AS017-FRANKED_DISTRIBUTION</t>
        </is>
      </c>
      <c r="C174" t="inlineStr">
        <is>
          <t>FRANKED_DISTRIBUTION</t>
        </is>
      </c>
      <c r="D174" t="n">
        <v>3459.16</v>
      </c>
      <c r="E174" t="inlineStr">
        <is>
          <t>AUD</t>
        </is>
      </c>
      <c r="F174" t="inlineStr">
        <is>
          <t>AS017</t>
        </is>
      </c>
    </row>
    <row r="175">
      <c r="A175" t="inlineStr">
        <is>
          <t>AS017-UNFRANKED_DISTRIBUTION</t>
        </is>
      </c>
      <c r="C175" t="inlineStr">
        <is>
          <t>UNFRANKED_DISTRIBUTION</t>
        </is>
      </c>
      <c r="D175" t="n">
        <v>518.87</v>
      </c>
      <c r="E175" t="inlineStr">
        <is>
          <t>AUD</t>
        </is>
      </c>
      <c r="F175" t="inlineStr">
        <is>
          <t>AS017</t>
        </is>
      </c>
    </row>
    <row r="176">
      <c r="A176" t="inlineStr">
        <is>
          <t>AS017-FOREIGN_SOURCE_INCOME</t>
        </is>
      </c>
      <c r="C176" t="inlineStr">
        <is>
          <t>FOREIGN_SOURCE_INCOME</t>
        </is>
      </c>
      <c r="D176" t="n">
        <v>259.44</v>
      </c>
      <c r="E176" t="inlineStr">
        <is>
          <t>AUD</t>
        </is>
      </c>
      <c r="F176" t="inlineStr">
        <is>
          <t>AS017</t>
        </is>
      </c>
    </row>
    <row r="177">
      <c r="A177" t="inlineStr">
        <is>
          <t>AS017-INTEREST</t>
        </is>
      </c>
      <c r="C177" t="inlineStr">
        <is>
          <t>INTEREST</t>
        </is>
      </c>
      <c r="D177" t="n">
        <v>86.48</v>
      </c>
      <c r="E177" t="inlineStr">
        <is>
          <t>AUD</t>
        </is>
      </c>
      <c r="F177" t="inlineStr">
        <is>
          <t>AS017</t>
        </is>
      </c>
    </row>
    <row r="178">
      <c r="A178" t="inlineStr">
        <is>
          <t>AS017-FRANKING_CREDIT</t>
        </is>
      </c>
      <c r="C178" t="inlineStr">
        <is>
          <t>FRANKING_CREDIT</t>
        </is>
      </c>
      <c r="D178" t="n">
        <v>1482.5</v>
      </c>
      <c r="E178" t="inlineStr">
        <is>
          <t>AUD</t>
        </is>
      </c>
      <c r="F178" t="inlineStr">
        <is>
          <t>AS017</t>
        </is>
      </c>
    </row>
    <row r="179">
      <c r="A179" t="inlineStr">
        <is>
          <t>AS017-FOREIGN_INCOME_TAX_OFFSET</t>
        </is>
      </c>
      <c r="C179" t="inlineStr">
        <is>
          <t>FOREIGN_INCOME_TAX_OFFSET</t>
        </is>
      </c>
      <c r="D179" t="n">
        <v>25.94</v>
      </c>
      <c r="E179" t="inlineStr">
        <is>
          <t>AUD</t>
        </is>
      </c>
      <c r="F179" t="inlineStr">
        <is>
          <t>AS017</t>
        </is>
      </c>
    </row>
    <row r="180">
      <c r="A180" t="inlineStr">
        <is>
          <t>AS017-COSTBASE_INCREASE</t>
        </is>
      </c>
      <c r="C180" t="inlineStr">
        <is>
          <t>COSTBASE_INCREASE</t>
        </is>
      </c>
      <c r="D180" t="n">
        <v>117.92</v>
      </c>
      <c r="E180" t="inlineStr">
        <is>
          <t>AUD</t>
        </is>
      </c>
      <c r="F180" t="inlineStr">
        <is>
          <t>AS017</t>
        </is>
      </c>
    </row>
    <row r="181">
      <c r="A181" t="inlineStr">
        <is>
          <t>AS018-DISCOUNTED_NTAP</t>
        </is>
      </c>
      <c r="C181" t="inlineStr">
        <is>
          <t>DISCOUNTED_NTAP</t>
        </is>
      </c>
      <c r="D181" t="n">
        <v>161.03</v>
      </c>
      <c r="E181" t="inlineStr">
        <is>
          <t>AUD</t>
        </is>
      </c>
      <c r="F181" t="inlineStr">
        <is>
          <t>AS018</t>
        </is>
      </c>
    </row>
    <row r="182">
      <c r="A182" t="inlineStr">
        <is>
          <t>AS018-OTHER_NTAP</t>
        </is>
      </c>
      <c r="C182" t="inlineStr">
        <is>
          <t>OTHER_NTAP</t>
        </is>
      </c>
      <c r="D182" t="n">
        <v>53.01</v>
      </c>
      <c r="E182" t="inlineStr">
        <is>
          <t>AUD</t>
        </is>
      </c>
      <c r="F182" t="inlineStr">
        <is>
          <t>AS018</t>
        </is>
      </c>
    </row>
    <row r="183">
      <c r="A183" t="inlineStr">
        <is>
          <t>AS018-AMIT_GROSS_UP</t>
        </is>
      </c>
      <c r="C183" t="inlineStr">
        <is>
          <t>AMIT_GROSS_UP</t>
        </is>
      </c>
      <c r="D183" t="n">
        <v>161.03</v>
      </c>
      <c r="E183" t="inlineStr">
        <is>
          <t>AUD</t>
        </is>
      </c>
      <c r="F183" t="inlineStr">
        <is>
          <t>AS018</t>
        </is>
      </c>
    </row>
    <row r="184">
      <c r="A184" t="inlineStr">
        <is>
          <t>AS018-TOTAL_CY_CG</t>
        </is>
      </c>
      <c r="C184" t="inlineStr">
        <is>
          <t>TOTAL_CY_CG</t>
        </is>
      </c>
      <c r="D184" t="n">
        <v>375.07</v>
      </c>
      <c r="E184" t="inlineStr">
        <is>
          <t>AUD</t>
        </is>
      </c>
      <c r="F184" t="inlineStr">
        <is>
          <t>AS018</t>
        </is>
      </c>
    </row>
    <row r="185">
      <c r="A185" t="inlineStr">
        <is>
          <t>AS018-FOREIGN_SOURCE_INCOME</t>
        </is>
      </c>
      <c r="C185" t="inlineStr">
        <is>
          <t>FOREIGN_SOURCE_INCOME</t>
        </is>
      </c>
      <c r="D185" t="n">
        <v>5803.68</v>
      </c>
      <c r="E185" t="inlineStr">
        <is>
          <t>AUD</t>
        </is>
      </c>
      <c r="F185" t="inlineStr">
        <is>
          <t>AS018</t>
        </is>
      </c>
    </row>
    <row r="186">
      <c r="A186" t="inlineStr">
        <is>
          <t>AS018-INTEREST</t>
        </is>
      </c>
      <c r="C186" t="inlineStr">
        <is>
          <t>INTEREST</t>
        </is>
      </c>
      <c r="D186" t="n">
        <v>308.71</v>
      </c>
      <c r="E186" t="inlineStr">
        <is>
          <t>AUD</t>
        </is>
      </c>
      <c r="F186" t="inlineStr">
        <is>
          <t>AS018</t>
        </is>
      </c>
    </row>
    <row r="187">
      <c r="A187" t="inlineStr">
        <is>
          <t>AS018-UNFRANKED_DISTRIBUTION</t>
        </is>
      </c>
      <c r="C187" t="inlineStr">
        <is>
          <t>UNFRANKED_DISTRIBUTION</t>
        </is>
      </c>
      <c r="D187" t="n">
        <v>61.74</v>
      </c>
      <c r="E187" t="inlineStr">
        <is>
          <t>AUD</t>
        </is>
      </c>
      <c r="F187" t="inlineStr">
        <is>
          <t>AS018</t>
        </is>
      </c>
    </row>
    <row r="188">
      <c r="A188" t="inlineStr">
        <is>
          <t>AS018-FOREIGN_INCOME_TAX_OFFSET</t>
        </is>
      </c>
      <c r="C188" t="inlineStr">
        <is>
          <t>FOREIGN_INCOME_TAX_OFFSET</t>
        </is>
      </c>
      <c r="D188" t="n">
        <v>580.37</v>
      </c>
      <c r="E188" t="inlineStr">
        <is>
          <t>AUD</t>
        </is>
      </c>
      <c r="F188" t="inlineStr">
        <is>
          <t>AS018</t>
        </is>
      </c>
    </row>
    <row r="189">
      <c r="A189" t="inlineStr">
        <is>
          <t>AS018-COSTBASE_INCREASE</t>
        </is>
      </c>
      <c r="C189" t="inlineStr">
        <is>
          <t>COSTBASE_INCREASE</t>
        </is>
      </c>
      <c r="D189" t="n">
        <v>609.24</v>
      </c>
      <c r="E189" t="inlineStr">
        <is>
          <t>AUD</t>
        </is>
      </c>
      <c r="F189" t="inlineStr">
        <is>
          <t>AS018</t>
        </is>
      </c>
    </row>
    <row r="190">
      <c r="A190" t="inlineStr">
        <is>
          <t>AS019-DISCOUNTED_TAP</t>
        </is>
      </c>
      <c r="C190" t="inlineStr">
        <is>
          <t>DISCOUNTED_TAP</t>
        </is>
      </c>
      <c r="D190" t="n">
        <v>23.04</v>
      </c>
      <c r="E190" t="inlineStr">
        <is>
          <t>AUD</t>
        </is>
      </c>
      <c r="F190" t="inlineStr">
        <is>
          <t>AS019</t>
        </is>
      </c>
    </row>
    <row r="191">
      <c r="A191" t="inlineStr">
        <is>
          <t>AS019-DISCOUNTED_NTAP</t>
        </is>
      </c>
      <c r="C191" t="inlineStr">
        <is>
          <t>DISCOUNTED_NTAP</t>
        </is>
      </c>
      <c r="D191" t="n">
        <v>468.86</v>
      </c>
      <c r="E191" t="inlineStr">
        <is>
          <t>AUD</t>
        </is>
      </c>
      <c r="F191" t="inlineStr">
        <is>
          <t>AS019</t>
        </is>
      </c>
    </row>
    <row r="192">
      <c r="A192" t="inlineStr">
        <is>
          <t>AS019-OTHER_NTAP</t>
        </is>
      </c>
      <c r="C192" t="inlineStr">
        <is>
          <t>OTHER_NTAP</t>
        </is>
      </c>
      <c r="D192" t="n">
        <v>23.3</v>
      </c>
      <c r="E192" t="inlineStr">
        <is>
          <t>AUD</t>
        </is>
      </c>
      <c r="F192" t="inlineStr">
        <is>
          <t>AS019</t>
        </is>
      </c>
    </row>
    <row r="193">
      <c r="A193" t="inlineStr">
        <is>
          <t>AS019-AMIT_GROSS_UP</t>
        </is>
      </c>
      <c r="C193" t="inlineStr">
        <is>
          <t>AMIT_GROSS_UP</t>
        </is>
      </c>
      <c r="D193" t="n">
        <v>491.9</v>
      </c>
      <c r="E193" t="inlineStr">
        <is>
          <t>AUD</t>
        </is>
      </c>
      <c r="F193" t="inlineStr">
        <is>
          <t>AS019</t>
        </is>
      </c>
    </row>
    <row r="194">
      <c r="A194" t="inlineStr">
        <is>
          <t>AS019-TOTAL_CY_CG</t>
        </is>
      </c>
      <c r="C194" t="inlineStr">
        <is>
          <t>TOTAL_CY_CG</t>
        </is>
      </c>
      <c r="D194" t="n">
        <v>1007.1</v>
      </c>
      <c r="E194" t="inlineStr">
        <is>
          <t>AUD</t>
        </is>
      </c>
      <c r="F194" t="inlineStr">
        <is>
          <t>AS019</t>
        </is>
      </c>
    </row>
    <row r="195">
      <c r="A195" t="inlineStr">
        <is>
          <t>AS019-FRANKED_DISTRIBUTION</t>
        </is>
      </c>
      <c r="C195" t="inlineStr">
        <is>
          <t>FRANKED_DISTRIBUTION</t>
        </is>
      </c>
      <c r="D195" t="n">
        <v>3379.08</v>
      </c>
      <c r="E195" t="inlineStr">
        <is>
          <t>AUD</t>
        </is>
      </c>
      <c r="F195" t="inlineStr">
        <is>
          <t>AS019</t>
        </is>
      </c>
    </row>
    <row r="196">
      <c r="A196" t="inlineStr">
        <is>
          <t>AS019-UNFRANKED_DISTRIBUTION</t>
        </is>
      </c>
      <c r="C196" t="inlineStr">
        <is>
          <t>UNFRANKED_DISTRIBUTION</t>
        </is>
      </c>
      <c r="D196" t="n">
        <v>506.86</v>
      </c>
      <c r="E196" t="inlineStr">
        <is>
          <t>AUD</t>
        </is>
      </c>
      <c r="F196" t="inlineStr">
        <is>
          <t>AS019</t>
        </is>
      </c>
    </row>
    <row r="197">
      <c r="A197" t="inlineStr">
        <is>
          <t>AS019-FOREIGN_SOURCE_INCOME</t>
        </is>
      </c>
      <c r="C197" t="inlineStr">
        <is>
          <t>FOREIGN_SOURCE_INCOME</t>
        </is>
      </c>
      <c r="D197" t="n">
        <v>253.43</v>
      </c>
      <c r="E197" t="inlineStr">
        <is>
          <t>AUD</t>
        </is>
      </c>
      <c r="F197" t="inlineStr">
        <is>
          <t>AS019</t>
        </is>
      </c>
    </row>
    <row r="198">
      <c r="A198" t="inlineStr">
        <is>
          <t>AS019-INTEREST</t>
        </is>
      </c>
      <c r="C198" t="inlineStr">
        <is>
          <t>INTEREST</t>
        </is>
      </c>
      <c r="D198" t="n">
        <v>84.48</v>
      </c>
      <c r="E198" t="inlineStr">
        <is>
          <t>AUD</t>
        </is>
      </c>
      <c r="F198" t="inlineStr">
        <is>
          <t>AS019</t>
        </is>
      </c>
    </row>
    <row r="199">
      <c r="A199" t="inlineStr">
        <is>
          <t>AS019-FRANKING_CREDIT</t>
        </is>
      </c>
      <c r="C199" t="inlineStr">
        <is>
          <t>FRANKING_CREDIT</t>
        </is>
      </c>
      <c r="D199" t="n">
        <v>1448.18</v>
      </c>
      <c r="E199" t="inlineStr">
        <is>
          <t>AUD</t>
        </is>
      </c>
      <c r="F199" t="inlineStr">
        <is>
          <t>AS019</t>
        </is>
      </c>
    </row>
    <row r="200">
      <c r="A200" t="inlineStr">
        <is>
          <t>AS019-FOREIGN_INCOME_TAX_OFFSET</t>
        </is>
      </c>
      <c r="C200" t="inlineStr">
        <is>
          <t>FOREIGN_INCOME_TAX_OFFSET</t>
        </is>
      </c>
      <c r="D200" t="n">
        <v>25.34</v>
      </c>
      <c r="E200" t="inlineStr">
        <is>
          <t>AUD</t>
        </is>
      </c>
      <c r="F200" t="inlineStr">
        <is>
          <t>AS019</t>
        </is>
      </c>
    </row>
    <row r="201">
      <c r="A201" t="inlineStr">
        <is>
          <t>AS019-COSTBASE_INCREASE</t>
        </is>
      </c>
      <c r="C201" t="inlineStr">
        <is>
          <t>COSTBASE_INCREASE</t>
        </is>
      </c>
      <c r="D201" t="n">
        <v>288.25</v>
      </c>
      <c r="E201" t="inlineStr">
        <is>
          <t>AUD</t>
        </is>
      </c>
      <c r="F201" t="inlineStr">
        <is>
          <t>AS019</t>
        </is>
      </c>
    </row>
    <row r="202">
      <c r="A202" t="inlineStr">
        <is>
          <t>AS020-DISCOUNTED_NTAP</t>
        </is>
      </c>
      <c r="C202" t="inlineStr">
        <is>
          <t>DISCOUNTED_NTAP</t>
        </is>
      </c>
      <c r="D202" t="n">
        <v>477.98</v>
      </c>
      <c r="E202" t="inlineStr">
        <is>
          <t>AUD</t>
        </is>
      </c>
      <c r="F202" t="inlineStr">
        <is>
          <t>AS020</t>
        </is>
      </c>
    </row>
    <row r="203">
      <c r="A203" t="inlineStr">
        <is>
          <t>AS020-OTHER_NTAP</t>
        </is>
      </c>
      <c r="C203" t="inlineStr">
        <is>
          <t>OTHER_NTAP</t>
        </is>
      </c>
      <c r="D203" t="n">
        <v>204.94</v>
      </c>
      <c r="E203" t="inlineStr">
        <is>
          <t>AUD</t>
        </is>
      </c>
      <c r="F203" t="inlineStr">
        <is>
          <t>AS020</t>
        </is>
      </c>
    </row>
    <row r="204">
      <c r="A204" t="inlineStr">
        <is>
          <t>AS020-AMIT_GROSS_UP</t>
        </is>
      </c>
      <c r="C204" t="inlineStr">
        <is>
          <t>AMIT_GROSS_UP</t>
        </is>
      </c>
      <c r="D204" t="n">
        <v>477.98</v>
      </c>
      <c r="E204" t="inlineStr">
        <is>
          <t>AUD</t>
        </is>
      </c>
      <c r="F204" t="inlineStr">
        <is>
          <t>AS020</t>
        </is>
      </c>
    </row>
    <row r="205">
      <c r="A205" t="inlineStr">
        <is>
          <t>AS020-TOTAL_CY_CG</t>
        </is>
      </c>
      <c r="C205" t="inlineStr">
        <is>
          <t>TOTAL_CY_CG</t>
        </is>
      </c>
      <c r="D205" t="n">
        <v>1160.9</v>
      </c>
      <c r="E205" t="inlineStr">
        <is>
          <t>AUD</t>
        </is>
      </c>
      <c r="F205" t="inlineStr">
        <is>
          <t>AS020</t>
        </is>
      </c>
    </row>
    <row r="206">
      <c r="A206" t="inlineStr">
        <is>
          <t>AS020-FOREIGN_SOURCE_INCOME</t>
        </is>
      </c>
      <c r="C206" t="inlineStr">
        <is>
          <t>FOREIGN_SOURCE_INCOME</t>
        </is>
      </c>
      <c r="D206" t="n">
        <v>7917.34</v>
      </c>
      <c r="E206" t="inlineStr">
        <is>
          <t>AUD</t>
        </is>
      </c>
      <c r="F206" t="inlineStr">
        <is>
          <t>AS020</t>
        </is>
      </c>
    </row>
    <row r="207">
      <c r="A207" t="inlineStr">
        <is>
          <t>AS020-INTEREST</t>
        </is>
      </c>
      <c r="C207" t="inlineStr">
        <is>
          <t>INTEREST</t>
        </is>
      </c>
      <c r="D207" t="n">
        <v>421.14</v>
      </c>
      <c r="E207" t="inlineStr">
        <is>
          <t>AUD</t>
        </is>
      </c>
      <c r="F207" t="inlineStr">
        <is>
          <t>AS020</t>
        </is>
      </c>
    </row>
    <row r="208">
      <c r="A208" t="inlineStr">
        <is>
          <t>AS020-UNFRANKED_DISTRIBUTION</t>
        </is>
      </c>
      <c r="C208" t="inlineStr">
        <is>
          <t>UNFRANKED_DISTRIBUTION</t>
        </is>
      </c>
      <c r="D208" t="n">
        <v>84.23</v>
      </c>
      <c r="E208" t="inlineStr">
        <is>
          <t>AUD</t>
        </is>
      </c>
      <c r="F208" t="inlineStr">
        <is>
          <t>AS020</t>
        </is>
      </c>
    </row>
    <row r="209">
      <c r="A209" t="inlineStr">
        <is>
          <t>AS020-FOREIGN_INCOME_TAX_OFFSET</t>
        </is>
      </c>
      <c r="C209" t="inlineStr">
        <is>
          <t>FOREIGN_INCOME_TAX_OFFSET</t>
        </is>
      </c>
      <c r="D209" t="n">
        <v>791.74</v>
      </c>
      <c r="E209" t="inlineStr">
        <is>
          <t>AUD</t>
        </is>
      </c>
      <c r="F209" t="inlineStr">
        <is>
          <t>AS020</t>
        </is>
      </c>
    </row>
    <row r="210">
      <c r="A210" t="inlineStr">
        <is>
          <t>AS020-COSTBASE_INCREASE</t>
        </is>
      </c>
      <c r="C210" t="inlineStr">
        <is>
          <t>COSTBASE_INCREASE</t>
        </is>
      </c>
      <c r="D210" t="n">
        <v>701.45</v>
      </c>
      <c r="E210" t="inlineStr">
        <is>
          <t>AUD</t>
        </is>
      </c>
      <c r="F210" t="inlineStr">
        <is>
          <t>AS020</t>
        </is>
      </c>
    </row>
    <row r="211">
      <c r="A211" t="inlineStr">
        <is>
          <t>AS021-DISCOUNTED_TAP</t>
        </is>
      </c>
      <c r="C211" t="inlineStr">
        <is>
          <t>DISCOUNTED_TAP</t>
        </is>
      </c>
      <c r="D211" t="n">
        <v>22.79</v>
      </c>
      <c r="E211" t="inlineStr">
        <is>
          <t>AUD</t>
        </is>
      </c>
      <c r="F211" t="inlineStr">
        <is>
          <t>AS021</t>
        </is>
      </c>
    </row>
    <row r="212">
      <c r="A212" t="inlineStr">
        <is>
          <t>AS021-DISCOUNTED_NTAP</t>
        </is>
      </c>
      <c r="C212" t="inlineStr">
        <is>
          <t>DISCOUNTED_NTAP</t>
        </is>
      </c>
      <c r="D212" t="n">
        <v>371.27</v>
      </c>
      <c r="E212" t="inlineStr">
        <is>
          <t>AUD</t>
        </is>
      </c>
      <c r="F212" t="inlineStr">
        <is>
          <t>AS021</t>
        </is>
      </c>
    </row>
    <row r="213">
      <c r="A213" t="inlineStr">
        <is>
          <t>AS021-OTHER_NTAP</t>
        </is>
      </c>
      <c r="C213" t="inlineStr">
        <is>
          <t>OTHER_NTAP</t>
        </is>
      </c>
      <c r="D213" t="n">
        <v>184.69</v>
      </c>
      <c r="E213" t="inlineStr">
        <is>
          <t>AUD</t>
        </is>
      </c>
      <c r="F213" t="inlineStr">
        <is>
          <t>AS021</t>
        </is>
      </c>
    </row>
    <row r="214">
      <c r="A214" t="inlineStr">
        <is>
          <t>AS021-AMIT_GROSS_UP</t>
        </is>
      </c>
      <c r="C214" t="inlineStr">
        <is>
          <t>AMIT_GROSS_UP</t>
        </is>
      </c>
      <c r="D214" t="n">
        <v>394.06</v>
      </c>
      <c r="E214" t="inlineStr">
        <is>
          <t>AUD</t>
        </is>
      </c>
      <c r="F214" t="inlineStr">
        <is>
          <t>AS021</t>
        </is>
      </c>
    </row>
    <row r="215">
      <c r="A215" t="inlineStr">
        <is>
          <t>AS021-TOTAL_CY_CG</t>
        </is>
      </c>
      <c r="C215" t="inlineStr">
        <is>
          <t>TOTAL_CY_CG</t>
        </is>
      </c>
      <c r="D215" t="n">
        <v>972.8099999999999</v>
      </c>
      <c r="E215" t="inlineStr">
        <is>
          <t>AUD</t>
        </is>
      </c>
      <c r="F215" t="inlineStr">
        <is>
          <t>AS021</t>
        </is>
      </c>
    </row>
    <row r="216">
      <c r="A216" t="inlineStr">
        <is>
          <t>AS021-FRANKED_DISTRIBUTION</t>
        </is>
      </c>
      <c r="C216" t="inlineStr">
        <is>
          <t>FRANKED_DISTRIBUTION</t>
        </is>
      </c>
      <c r="D216" t="n">
        <v>4649.06</v>
      </c>
      <c r="E216" t="inlineStr">
        <is>
          <t>AUD</t>
        </is>
      </c>
      <c r="F216" t="inlineStr">
        <is>
          <t>AS021</t>
        </is>
      </c>
    </row>
    <row r="217">
      <c r="A217" t="inlineStr">
        <is>
          <t>AS021-UNFRANKED_DISTRIBUTION</t>
        </is>
      </c>
      <c r="C217" t="inlineStr">
        <is>
          <t>UNFRANKED_DISTRIBUTION</t>
        </is>
      </c>
      <c r="D217" t="n">
        <v>697.36</v>
      </c>
      <c r="E217" t="inlineStr">
        <is>
          <t>AUD</t>
        </is>
      </c>
      <c r="F217" t="inlineStr">
        <is>
          <t>AS021</t>
        </is>
      </c>
    </row>
    <row r="218">
      <c r="A218" t="inlineStr">
        <is>
          <t>AS021-FOREIGN_SOURCE_INCOME</t>
        </is>
      </c>
      <c r="C218" t="inlineStr">
        <is>
          <t>FOREIGN_SOURCE_INCOME</t>
        </is>
      </c>
      <c r="D218" t="n">
        <v>348.68</v>
      </c>
      <c r="E218" t="inlineStr">
        <is>
          <t>AUD</t>
        </is>
      </c>
      <c r="F218" t="inlineStr">
        <is>
          <t>AS021</t>
        </is>
      </c>
    </row>
    <row r="219">
      <c r="A219" t="inlineStr">
        <is>
          <t>AS021-INTEREST</t>
        </is>
      </c>
      <c r="C219" t="inlineStr">
        <is>
          <t>INTEREST</t>
        </is>
      </c>
      <c r="D219" t="n">
        <v>116.23</v>
      </c>
      <c r="E219" t="inlineStr">
        <is>
          <t>AUD</t>
        </is>
      </c>
      <c r="F219" t="inlineStr">
        <is>
          <t>AS021</t>
        </is>
      </c>
    </row>
    <row r="220">
      <c r="A220" t="inlineStr">
        <is>
          <t>AS021-FRANKING_CREDIT</t>
        </is>
      </c>
      <c r="C220" t="inlineStr">
        <is>
          <t>FRANKING_CREDIT</t>
        </is>
      </c>
      <c r="D220" t="n">
        <v>1992.45</v>
      </c>
      <c r="E220" t="inlineStr">
        <is>
          <t>AUD</t>
        </is>
      </c>
      <c r="F220" t="inlineStr">
        <is>
          <t>AS021</t>
        </is>
      </c>
    </row>
    <row r="221">
      <c r="A221" t="inlineStr">
        <is>
          <t>AS021-FOREIGN_INCOME_TAX_OFFSET</t>
        </is>
      </c>
      <c r="C221" t="inlineStr">
        <is>
          <t>FOREIGN_INCOME_TAX_OFFSET</t>
        </is>
      </c>
      <c r="D221" t="n">
        <v>34.87</v>
      </c>
      <c r="E221" t="inlineStr">
        <is>
          <t>AUD</t>
        </is>
      </c>
      <c r="F221" t="inlineStr">
        <is>
          <t>AS021</t>
        </is>
      </c>
    </row>
    <row r="222">
      <c r="A222" t="inlineStr">
        <is>
          <t>AS021-COSTBASE_INCREASE</t>
        </is>
      </c>
      <c r="C222" t="inlineStr">
        <is>
          <t>COSTBASE_INCREASE</t>
        </is>
      </c>
      <c r="D222" t="n">
        <v>494.99</v>
      </c>
      <c r="E222" t="inlineStr">
        <is>
          <t>AUD</t>
        </is>
      </c>
      <c r="F222" t="inlineStr">
        <is>
          <t>AS021</t>
        </is>
      </c>
    </row>
    <row r="223">
      <c r="A223" t="inlineStr">
        <is>
          <t>AS022-DISCOUNTED_NTAP</t>
        </is>
      </c>
      <c r="C223" t="inlineStr">
        <is>
          <t>DISCOUNTED_NTAP</t>
        </is>
      </c>
      <c r="D223" t="n">
        <v>504.26</v>
      </c>
      <c r="E223" t="inlineStr">
        <is>
          <t>AUD</t>
        </is>
      </c>
      <c r="F223" t="inlineStr">
        <is>
          <t>AS022</t>
        </is>
      </c>
    </row>
    <row r="224">
      <c r="A224" t="inlineStr">
        <is>
          <t>AS022-OTHER_NTAP</t>
        </is>
      </c>
      <c r="C224" t="inlineStr">
        <is>
          <t>OTHER_NTAP</t>
        </is>
      </c>
      <c r="D224" t="n">
        <v>209.25</v>
      </c>
      <c r="E224" t="inlineStr">
        <is>
          <t>AUD</t>
        </is>
      </c>
      <c r="F224" t="inlineStr">
        <is>
          <t>AS022</t>
        </is>
      </c>
    </row>
    <row r="225">
      <c r="A225" t="inlineStr">
        <is>
          <t>AS022-AMIT_GROSS_UP</t>
        </is>
      </c>
      <c r="C225" t="inlineStr">
        <is>
          <t>AMIT_GROSS_UP</t>
        </is>
      </c>
      <c r="D225" t="n">
        <v>504.26</v>
      </c>
      <c r="E225" t="inlineStr">
        <is>
          <t>AUD</t>
        </is>
      </c>
      <c r="F225" t="inlineStr">
        <is>
          <t>AS022</t>
        </is>
      </c>
    </row>
    <row r="226">
      <c r="A226" t="inlineStr">
        <is>
          <t>AS022-TOTAL_CY_CG</t>
        </is>
      </c>
      <c r="C226" t="inlineStr">
        <is>
          <t>TOTAL_CY_CG</t>
        </is>
      </c>
      <c r="D226" t="n">
        <v>1217.77</v>
      </c>
      <c r="E226" t="inlineStr">
        <is>
          <t>AUD</t>
        </is>
      </c>
      <c r="F226" t="inlineStr">
        <is>
          <t>AS022</t>
        </is>
      </c>
    </row>
    <row r="227">
      <c r="A227" t="inlineStr">
        <is>
          <t>AS022-FOREIGN_SOURCE_INCOME</t>
        </is>
      </c>
      <c r="C227" t="inlineStr">
        <is>
          <t>FOREIGN_SOURCE_INCOME</t>
        </is>
      </c>
      <c r="D227" t="n">
        <v>3699.43</v>
      </c>
      <c r="E227" t="inlineStr">
        <is>
          <t>AUD</t>
        </is>
      </c>
      <c r="F227" t="inlineStr">
        <is>
          <t>AS022</t>
        </is>
      </c>
    </row>
    <row r="228">
      <c r="A228" t="inlineStr">
        <is>
          <t>AS022-INTEREST</t>
        </is>
      </c>
      <c r="C228" t="inlineStr">
        <is>
          <t>INTEREST</t>
        </is>
      </c>
      <c r="D228" t="n">
        <v>196.78</v>
      </c>
      <c r="E228" t="inlineStr">
        <is>
          <t>AUD</t>
        </is>
      </c>
      <c r="F228" t="inlineStr">
        <is>
          <t>AS022</t>
        </is>
      </c>
    </row>
    <row r="229">
      <c r="A229" t="inlineStr">
        <is>
          <t>AS022-UNFRANKED_DISTRIBUTION</t>
        </is>
      </c>
      <c r="C229" t="inlineStr">
        <is>
          <t>UNFRANKED_DISTRIBUTION</t>
        </is>
      </c>
      <c r="D229" t="n">
        <v>39.36</v>
      </c>
      <c r="E229" t="inlineStr">
        <is>
          <t>AUD</t>
        </is>
      </c>
      <c r="F229" t="inlineStr">
        <is>
          <t>AS022</t>
        </is>
      </c>
    </row>
    <row r="230">
      <c r="A230" t="inlineStr">
        <is>
          <t>AS022-FOREIGN_INCOME_TAX_OFFSET</t>
        </is>
      </c>
      <c r="C230" t="inlineStr">
        <is>
          <t>FOREIGN_INCOME_TAX_OFFSET</t>
        </is>
      </c>
      <c r="D230" t="n">
        <v>369.94</v>
      </c>
      <c r="E230" t="inlineStr">
        <is>
          <t>AUD</t>
        </is>
      </c>
      <c r="F230" t="inlineStr">
        <is>
          <t>AS022</t>
        </is>
      </c>
    </row>
    <row r="231">
      <c r="A231" t="inlineStr">
        <is>
          <t>AS022-COSTBASE_INCREASE</t>
        </is>
      </c>
      <c r="C231" t="inlineStr">
        <is>
          <t>COSTBASE_INCREASE</t>
        </is>
      </c>
      <c r="D231" t="n">
        <v>109.68</v>
      </c>
      <c r="E231" t="inlineStr">
        <is>
          <t>AUD</t>
        </is>
      </c>
      <c r="F231" t="inlineStr">
        <is>
          <t>AS022</t>
        </is>
      </c>
    </row>
  </sheetData>
  <dataValidations count="2">
    <dataValidation sqref="C2:C731" showDropDown="0" showInputMessage="0" showErrorMessage="1" allowBlank="1" errorTitle="Not an allowed value" error="Pick a value for component from the list." type="list">
      <formula1>'ValueAssistance'!$K$2:$K$28</formula1>
    </dataValidation>
    <dataValidation sqref="E2:E731" showDropDown="0" showInputMessage="0" showErrorMessage="1" allowBlank="1" errorTitle="Not an allowed value" error="Pick a value for amount_currency from the list." type="list">
      <formula1>'ValueAssistance'!$B$2:$B$308</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2026-10-18T09:31:14Z</dcterms:created>
  <dcterms:modified xsi:type="dcterms:W3CDTF">2026-10-18T09:31:15Z</dcterms:modified>
</cp:coreProperties>
</file>