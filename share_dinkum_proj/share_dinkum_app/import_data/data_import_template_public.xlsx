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5.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10.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1.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2.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3.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4.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5.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6.xml" ContentType="application/vnd.openxmlformats-officedocument.spreadsheetml.comments+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01" sheetId="2" state="visible" r:id="rId2"/>
    <sheet name="ValueAssistance" sheetId="3" state="visible" r:id="rId3"/>
    <sheet name="02" sheetId="4" state="visible" r:id="rId4"/>
    <sheet name="03" sheetId="5" state="visible" r:id="rId5"/>
    <sheet name="04" sheetId="6" state="visible" r:id="rId6"/>
    <sheet name="05" sheetId="7" state="visible" r:id="rId7"/>
    <sheet name="06" sheetId="8" state="visible" r:id="rId8"/>
    <sheet name="07" sheetId="9" state="visible" r:id="rId9"/>
    <sheet name="08" sheetId="10" state="visible" r:id="rId10"/>
    <sheet name="09" sheetId="11" state="visible" r:id="rId11"/>
    <sheet name="10" sheetId="12" state="visible" r:id="rId12"/>
    <sheet name="11" sheetId="13" state="visible" r:id="rId13"/>
    <sheet name="12" sheetId="14" state="visible" r:id="rId14"/>
    <sheet name="13" sheetId="15" state="visible" r:id="rId15"/>
    <sheet name="14" sheetId="16" state="visible" r:id="rId16"/>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6">
    <xf numFmtId="0" fontId="0" fillId="0" borderId="0" pivotButton="0" quotePrefix="0" xfId="0"/>
    <xf numFmtId="0" fontId="0" fillId="0" borderId="0" applyAlignment="1" pivotButton="0" quotePrefix="0" xfId="0">
      <alignment vertical="top"/>
    </xf>
    <xf numFmtId="0" fontId="2" fillId="0" borderId="0" pivotButton="0" quotePrefix="0" xfId="1"/>
    <xf numFmtId="0" fontId="0" fillId="0" borderId="0" applyAlignment="1" pivotButton="0" quotePrefix="0" xfId="0">
      <alignment vertical="top" wrapText="1"/>
    </xf>
    <xf numFmtId="0" fontId="1" fillId="0" borderId="0" pivotButton="0" quotePrefix="0" xfId="0"/>
    <xf numFmtId="164" fontId="0" fillId="0"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Share Dinkum</author>
  </authors>
  <commentList>
    <comment ref="A1" authorId="0" shapeId="0">
      <text>
        <t>Number of the sheet that holds the table. Click the link to go to it.</t>
      </text>
    </comment>
    <comment ref="B1" authorId="0" shapeId="0">
      <text>
        <t>Name of the Excel table, which is also the name of the model it loads into.</t>
      </text>
    </comment>
    <comment ref="C1" authorId="0" shapeId="0">
      <text>
        <t>What the table holds.</t>
      </text>
    </comment>
    <comment ref="D1" authorId="0" shapeId="0">
      <text>
        <t>Rows in the table when the file was written. An empty template table counts its one blank row.</t>
      </text>
    </comment>
    <comment ref="E1" authorId="0" shapeId="0">
      <text>
        <t>Click to go to the sheet.</t>
      </text>
    </comment>
  </commentList>
</comments>
</file>

<file path=xl/comments/comment2.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Short code of the market, such as ASX or NASDAQ.
Required.</t>
      </text>
    </comment>
    <comment ref="D1" authorId="0" shapeId="0">
      <text>
        <t>Suffix the price provider adds to this market's tickers, such as .AX. Blank if none.
Optional.</t>
      </text>
    </comment>
    <comment ref="E1" authorId="0" shapeId="0">
      <text>
        <t>ISO country code, e.g. AU. Decides whether instruments here are treated as Australian listed for capital gains reporting.
Optional.</t>
      </text>
    </comment>
    <comment ref="F1" authorId="0" shapeId="0">
      <text>
        <t>Uncheck for unlisted holdings. Unlisted assets fall into the "other" categories on the CGT schedule regardless of country.
TRUE or FALSE.
Optional. Blank = True.</t>
      </text>
    </comment>
    <comment ref="G1" authorId="0" shapeId="0">
      <text>
        <t>Free text notes about the record.
Optional.</t>
      </text>
    </comment>
  </commentList>
</comments>
</file>

<file path=xl/comments/comment3.xml><?xml version="1.0" encoding="utf-8"?>
<comments xmlns="http://schemas.openxmlformats.org/spreadsheetml/2006/main">
  <authors>
    <author>Share Dinkum</author>
  </authors>
  <commentList>
    <comment ref="A1" authorId="0" shapeId="0">
      <text>
        <t>The values the dropdowns for yes/no offer. Edit the dropdown, not this list.</t>
      </text>
    </comment>
    <comment ref="B1" authorId="0" shapeId="0">
      <text>
        <t>The values the dropdowns for currency offer. Edit the dropdown, not this list.</t>
      </text>
    </comment>
    <comment ref="C1" authorId="0" shapeId="0">
      <text>
        <t>The values the dropdowns for Instrument.legal_form offer. Edit the dropdown, not this list.</t>
      </text>
    </comment>
    <comment ref="D1" authorId="0" shapeId="0">
      <text>
        <t>The values the dropdowns for Instrument.cgt_asset_category_override offer. Edit the dropdown, not this list.</t>
      </text>
    </comment>
    <comment ref="E1" authorId="0" shapeId="0">
      <text>
        <t>The values the dropdowns for Sell.strategy offer. Edit the dropdown, not this list.</t>
      </text>
    </comment>
    <comment ref="F1" authorId="0" shapeId="0">
      <text>
        <t>The values the dropdowns for CostBaseAdjustment.allocation_method offer. Edit the dropdown, not this list.</t>
      </text>
    </comment>
    <comment ref="G1" authorId="0" shapeId="0">
      <text>
        <t>The values the dropdowns for Dividend.dividend_type offer. Edit the dropdown, not this list.</t>
      </text>
    </comment>
    <comment ref="H1" authorId="0" shapeId="0">
      <text>
        <t>The values the dropdowns for ResidencyPeriod.status offer. Edit the dropdown, not this list.</t>
      </text>
    </comment>
    <comment ref="I1" authorId="0" shapeId="0">
      <text>
        <t>The values the dropdowns for InstrumentValuation.purpose offer. Edit the dropdown, not this list.</t>
      </text>
    </comment>
    <comment ref="J1" authorId="0" shapeId="0">
      <text>
        <t>The values the dropdowns for InstrumentValuation.source offer. Edit the dropdown, not this list.</t>
      </text>
    </comment>
    <comment ref="K1" authorId="0" shapeId="0">
      <text>
        <t>The values the dropdowns for AttributionComponent.component offer. Edit the dropdown, not this list.</t>
      </text>
    </comment>
  </commentList>
</comments>
</file>

<file path=xl/comments/comment4.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Ticker code without the market suffix, such as BHP or VGS. Unique within a portfolio.
Required.</t>
      </text>
    </comment>
    <comment ref="C1" authorId="0" shapeId="0">
      <text>
        <t>Full name of the security.
Optional.</t>
      </text>
    </comment>
    <comment ref="D1" authorId="0" shapeId="0">
      <text>
        <t>Currency the instrument trades in, such as AUD or USD.
Optional. Blank = AUD.</t>
      </text>
    </comment>
    <comment ref="E1" authorId="0" shapeId="0">
      <text>
        <t>The market the instrument is listed on. Enter its code as listed in the Market table.
Required.</t>
      </text>
    </comment>
    <comment ref="F1" authorId="0" shapeId="0">
      <text>
        <t>Shown on the product disclosure statement or annual tax statement.
One of: UNKNOWN (Not yet classified); COMPANY (Company - ordinary or preference shares, including listed investment companies); UNIT_TRUST (Unit trust - most ETFs, managed funds and property trusts); STAPLED (Stapled security - a share and a unit traded together); RIGHT_OPTION (Right, option or entitlement); DEBT (Note, bond or other debt interest); REAL_PROPERTY (Direct interest in real property); COLLECTABLE (Collectable); OTHER (Other CGT asset).
Optional. Blank = UNKNOWN.</t>
      </text>
    </comment>
    <comment ref="G1" authorId="0" shapeId="0">
      <text>
        <t>Leave empty. Only set this if the category worked out from the legal form and the market is wrong for this holding.
One of: AU_LISTED_SHARES (Shares in Australian listed companies); OTHER_SHARES (Other shares); AU_LISTED_UNITS (Units in Australian listed unit trusts); OTHER_UNITS (Other units); AU_REAL_ESTATE (Australian real estate); OVERSEAS_REAL_ESTATE (Overseas real estate); COLLECTABLES (Collectables); OTHER_ASSETS (Other assets).
Optional.</t>
      </text>
    </comment>
    <comment ref="H1" authorId="0" shapeId="0">
      <text>
        <t>Leave empty. Only set this if the instrument is taxable Australian property in its own right -- real property, or a non-portfolio interest in a land rich entity. Setting it to "no" is not the same as leaving it empty: it overrides the departure deeming for every parcel, including ones you held when you ceased Australian residency.
TRUE or FALSE.
Optional.</t>
      </text>
    </comment>
    <comment ref="I1" authorId="0" shapeId="0">
      <text>
        <t>Free text notes about the record.
Optional.</t>
      </text>
    </comment>
  </commentList>
</comments>
</file>

<file path=xl/comments/comment5.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traded. Enter its name as listed in the Instrument table.
Required.</t>
      </text>
    </comment>
    <comment ref="C1" authorId="0" shapeId="0">
      <text>
        <t>Date of the trade.
A date, such as 2024-07-01.
Required.</t>
      </text>
    </comment>
    <comment ref="D1" authorId="0" shapeId="0">
      <text>
        <t>Number of units traded. Must be positive.
Required.</t>
      </text>
    </comment>
    <comment ref="E1" authorId="0" shapeId="0">
      <text>
        <t>Price per unit, in the currency named beside it.
Required.</t>
      </text>
    </comment>
    <comment ref="F1" authorId="0" shapeId="0">
      <text>
        <t>Currency of unit_price, as a code such as AUD or USD.
Optional. Blank = the instrument's currency.</t>
      </text>
    </comment>
    <comment ref="G1" authorId="0" shapeId="0">
      <text>
        <t>Brokerage and fees for the whole trade, not per unit.
Required.</t>
      </text>
    </comment>
    <comment ref="H1" authorId="0" shapeId="0">
      <text>
        <t>Currency of total_brokerage, as a code such as AUD or USD.
Optional. Blank = the instrument's currency.</t>
      </text>
    </comment>
    <comment ref="I1" authorId="0" shapeId="0">
      <text>
        <t>Path to a supporting document, such as a contract note. The file is copied into the app; a path that does not exist is ignored.
Optional.</t>
      </text>
    </comment>
    <comment ref="J1" authorId="0" shapeId="0">
      <text>
        <t>Free text notes about the record.
Optional.</t>
      </text>
    </comment>
  </commentList>
</comments>
</file>

<file path=xl/comments/comment6.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traded. Enter its name as listed in the Instrument table.
Required.</t>
      </text>
    </comment>
    <comment ref="C1" authorId="0" shapeId="0">
      <text>
        <t>Date of the trade.
A date, such as 2024-07-01.
Required.</t>
      </text>
    </comment>
    <comment ref="D1" authorId="0" shapeId="0">
      <text>
        <t>Number of units traded. Must be positive.
Required.</t>
      </text>
    </comment>
    <comment ref="E1" authorId="0" shapeId="0">
      <text>
        <t>Price per unit, in the currency named beside it.
Required.</t>
      </text>
    </comment>
    <comment ref="F1" authorId="0" shapeId="0">
      <text>
        <t>Currency of unit_price, as a code such as AUD or USD.
Optional. Blank = the instrument's currency.</t>
      </text>
    </comment>
    <comment ref="G1" authorId="0" shapeId="0">
      <text>
        <t>Brokerage and fees for the whole trade, not per unit.
Required.</t>
      </text>
    </comment>
    <comment ref="H1" authorId="0" shapeId="0">
      <text>
        <t>Currency of total_brokerage, as a code such as AUD or USD.
Optional. Blank = the instrument's currency.</t>
      </text>
    </comment>
    <comment ref="I1" authorId="0" shapeId="0">
      <text>
        <t>Path to a supporting document, such as a contract note. The file is copied into the app; a path that does not exist is ignored.
Optional.</t>
      </text>
    </comment>
    <comment ref="J1" authorId="0" shapeId="0">
      <text>
        <t>How the sale picks the parcels it consumes. MANUAL means you give the allocations yourself.
One of: FIFO (First-in, First-out); LIFO (Last-in, First out); MIN_CGT (Minimise net capital gain); MANUAL (Manually create allocations).
Optional. Blank = MIN_CGT.</t>
      </text>
    </comment>
    <comment ref="K1" authorId="0" shapeId="0">
      <text>
        <t>Free text notes about the record.
Optional.</t>
      </text>
    </comment>
  </commentList>
</comments>
</file>

<file path=xl/comments/comment7.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Units taken from the parcel by the sale.
Required.</t>
      </text>
    </comment>
    <comment ref="C1" authorId="0" shapeId="0">
      <text>
        <t>The legacy_id of the Sell row this allocation belongs to.</t>
      </text>
    </comment>
    <comment ref="D1" authorId="0" shapeId="0">
      <text>
        <t>The legacy_id of the Buy row whose parcel the units are taken from. The buy must have one parcel with units left.</t>
      </text>
    </comment>
    <comment ref="E1" authorId="0" shapeId="0">
      <text>
        <t>Free text notes about the record.
Optional.</t>
      </text>
    </comment>
  </commentList>
</comments>
</file>

<file path=xl/comments/comment8.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instrument that split. Enter its name as listed in the Instrument table.
Required.</t>
      </text>
    </comment>
    <comment ref="D1" authorId="0" shapeId="0">
      <text>
        <t>Units before the split, in the ratio. For a 1-for-4 split, 1.
Required.</t>
      </text>
    </comment>
    <comment ref="E1" authorId="0" shapeId="0">
      <text>
        <t>Units after the split, in the ratio. For a 1-for-4 split, 4.
Required.</t>
      </text>
    </comment>
    <comment ref="F1" authorId="0" shapeId="0">
      <text>
        <t>The ex-date. Trades on it are already in post-split units, so only parcels bought before it are split.
A date, such as 2024-07-01.
Required.</t>
      </text>
    </comment>
    <comment ref="G1" authorId="0" shapeId="0">
      <text>
        <t>Path to a supporting document. The file is copied into the app.
Optional.</t>
      </text>
    </comment>
    <comment ref="H1" authorId="0" shapeId="0">
      <text>
        <t>Free text notes about the record.
Optional.</t>
      </text>
    </comment>
  </commentList>
</comments>
</file>

<file path=xl/comments/comment9.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Change to the total cost base for the year, from the annual tax statement. Negative for a decrease.
Required.</t>
      </text>
    </comment>
    <comment ref="D1" authorId="0" shapeId="0">
      <text>
        <t>Currency of cost_base_increase, as a code such as AUD or USD.
Optional. Blank = the instrument's currency.</t>
      </text>
    </comment>
    <comment ref="E1" authorId="0" shapeId="0">
      <text>
        <t>The instrument adjusted. Enter its name as listed in the Instrument table.
Required.</t>
      </text>
    </comment>
    <comment ref="F1" authorId="0" shapeId="0">
      <text>
        <t>The last day of the financial year the statement covers.
A date, such as 2024-07-01.
Required.</t>
      </text>
    </comment>
    <comment ref="G1" authorId="0" shapeId="0">
      <text>
        <t>Path to the annual tax statement. The file is copied into the app.
Optional.</t>
      </text>
    </comment>
    <comment ref="H1" authorId="0" shapeId="0">
      <text>
        <t>How the adjustment is spread across parcels. QTY_HELD weights by units and days held.
One of: QTY_HELD (Allocate to parcels, weighting by (qty * days_held) in the F.Y.); MANUAL (Manually create allocations).
Optional. Blank = QTY_HELD.</t>
      </text>
    </comment>
    <comment ref="I1" authorId="0" shapeId="0">
      <text>
        <t>Free text notes about the record.
Optional.</t>
      </text>
    </comment>
  </commentList>
</comments>
</file>

<file path=xl/comments/comment10.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that paid. Enter its name as listed in the Instrument table.
Required.</t>
      </text>
    </comment>
    <comment ref="C1" authorId="0" shapeId="0">
      <text>
        <t>Date the payment was received.
A date, such as 2024-07-01.
Required.</t>
      </text>
    </comment>
    <comment ref="D1" authorId="0" shapeId="0">
      <text>
        <t>Units you were paid on. Normally the units held the day before the ex-date.
Required.</t>
      </text>
    </comment>
    <comment ref="E1" authorId="0" shapeId="0">
      <text>
        <t>Path to the payment advice or statement. The file is copied into the app.
Optional.</t>
      </text>
    </comment>
    <comment ref="F1" authorId="0" shapeId="0">
      <text>
        <t>LOCAL for an Australian company, FOREIGN for an overseas one.
One of: LOCAL (Local dividend); FOREIGN (Foreign dividend).
Optional. Blank = LOCAL.</t>
      </text>
    </comment>
    <comment ref="G1" authorId="0" shapeId="0">
      <text>
        <t>Unfranked part of the dividend, per share.
Optional. Blank = A$0.00.</t>
      </text>
    </comment>
    <comment ref="H1" authorId="0" shapeId="0">
      <text>
        <t>Currency of unfranked_amount_per_share, as a code such as AUD or USD.
Optional. Blank = the instrument's currency.</t>
      </text>
    </comment>
    <comment ref="I1" authorId="0" shapeId="0">
      <text>
        <t>Franked part of the dividend, per share. Franking credits are worked out from it.
Optional. Blank = A$0.00.</t>
      </text>
    </comment>
    <comment ref="J1" authorId="0" shapeId="0">
      <text>
        <t>Currency of franked_amount_per_share, as a code such as AUD or USD.
Optional. Blank = the instrument's currency.</t>
      </text>
    </comment>
    <comment ref="K1" authorId="0" shapeId="0">
      <text>
        <t>Tax withheld in the country of the payer, for the whole payment.
Optional. Blank = A$0.00.</t>
      </text>
    </comment>
    <comment ref="L1" authorId="0" shapeId="0">
      <text>
        <t>Currency of local_withholding_tax, as a code such as AUD or USD.
Optional. Blank = the instrument's currency.</t>
      </text>
    </comment>
    <comment ref="M1" authorId="0" shapeId="0">
      <text>
        <t>Foreign tax paid that can be claimed as a credit, for the whole payment.
Optional. Blank = A$0.00.</t>
      </text>
    </comment>
    <comment ref="N1" authorId="0" shapeId="0">
      <text>
        <t>Currency of foreign_tax_credit, as a code such as AUD or USD.
Optional. Blank = the instrument's currency.</t>
      </text>
    </comment>
    <comment ref="O1" authorId="0" shapeId="0">
      <text>
        <t>Capital gain component of a listed investment company dividend, for the whole payment.
Optional. Blank = A$0.00.</t>
      </text>
    </comment>
    <comment ref="P1" authorId="0" shapeId="0">
      <text>
        <t>Currency of lic_capital_gain, as a code such as AUD or USD.
Optional. Blank = the instrument's currency.</t>
      </text>
    </comment>
    <comment ref="Q1" authorId="0" shapeId="0">
      <text>
        <t>Enter a percentage value (e.g., 25.00 for 25%)
Optional. Blank = 30.0.</t>
      </text>
    </comment>
    <comment ref="R1" authorId="0" shapeId="0">
      <text>
        <t>Free text notes about the record.
Optional.</t>
      </text>
    </comment>
  </commentList>
</comments>
</file>

<file path=xl/comments/comment11.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that paid. Enter its name as listed in the Instrument table.
Required.</t>
      </text>
    </comment>
    <comment ref="C1" authorId="0" shapeId="0">
      <text>
        <t>Date the payment was received.
A date, such as 2024-07-01.
Required.</t>
      </text>
    </comment>
    <comment ref="D1" authorId="0" shapeId="0">
      <text>
        <t>Units you were paid on. Normally the units held the day before the ex-date.
Required.</t>
      </text>
    </comment>
    <comment ref="E1" authorId="0" shapeId="0">
      <text>
        <t>Path to the payment advice or statement. The file is copied into the app.
Optional.</t>
      </text>
    </comment>
    <comment ref="F1" authorId="0" shapeId="0">
      <text>
        <t>Cash distribution per unit, in the currency named beside it.
Optional. Blank = A$0.00.</t>
      </text>
    </comment>
    <comment ref="G1" authorId="0" shapeId="0">
      <text>
        <t>Currency of distribution_amount_per_share, as a code such as AUD or USD.
Optional. Blank = the instrument's currency.</t>
      </text>
    </comment>
    <comment ref="H1" authorId="0" shapeId="0">
      <text>
        <t>Tax withheld from the payment, for the whole payment.
Optional. Blank = A$0.00.</t>
      </text>
    </comment>
    <comment ref="I1" authorId="0" shapeId="0">
      <text>
        <t>Currency of total_withholding_tax, as a code such as AUD or USD.
Optional. Blank = the instrument's currency.</t>
      </text>
    </comment>
    <comment ref="J1" authorId="0" shapeId="0">
      <text>
        <t>Free text notes about the record.
Optional.</t>
      </text>
    </comment>
  </commentList>
</comments>
</file>

<file path=xl/comments/comment12.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Tax residency status for the period.
One of: RESIDENT (Australian resident); FOREIGN (Foreign resident); TEMPORARY (Temporary resident).
Required.</t>
      </text>
    </comment>
    <comment ref="D1" authorId="0" shapeId="0">
      <text>
        <t>First day of this period.
A date, such as 2024-07-01.
Required.</t>
      </text>
    </comment>
    <comment ref="E1" authorId="0" shapeId="0">
      <text>
        <t>Last day of this period. Leave blank if ongoing.
A date, such as 2024-07-01.
Optional.</t>
      </text>
    </comment>
    <comment ref="F1" authorId="0" shapeId="0">
      <text>
        <t>Where this period begins a departure from Australia: did you choose under s104-165(2) to disregard the deemed disposal on ceasing residency? If so, the assets you held then stay within the Australian CGT net until you sell them.
TRUE or FALSE.
Optional.</t>
      </text>
    </comment>
    <comment ref="G1" authorId="0" shapeId="0">
      <text>
        <t>Free text notes about the record.
Optional.</t>
      </text>
    </comment>
  </commentList>
</comments>
</file>

<file path=xl/comments/comment13.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instrument valued. Enter its name as listed in the Instrument table.
Required.</t>
      </text>
    </comment>
    <comment ref="D1" authorId="0" shapeId="0">
      <text>
        <t>The day the value applies to.
A date, such as 2024-07-01.
Required.</t>
      </text>
    </comment>
    <comment ref="E1" authorId="0" shapeId="0">
      <text>
        <t>Value of one unit on that day, in the currency named beside it.
Required.</t>
      </text>
    </comment>
    <comment ref="F1" authorId="0" shapeId="0">
      <text>
        <t>Currency of unit_value, as a code such as AUD or USD.
Optional. Blank = the instrument's currency.</t>
      </text>
    </comment>
    <comment ref="G1" authorId="0" shapeId="0">
      <text>
        <t>Which deemed disposal the valuation is for.
One of: CUTOVER_2027 (Deemed sale on 1 July 2027 (s112-155)); DEPARTURE (Ceasing Australian residency (s104-165)); ARRIVAL (Becoming an Australian resident (s855-45)); PRE_CGT (Pre-CGT asset, deemed sale (s112-175)); OTHER (Other).
Optional. Blank = CUTOVER_2027.</t>
      </text>
    </comment>
    <comment ref="H1" authorId="0" shapeId="0">
      <text>
        <t>Where the figure came from, so a disputed cost base can be traced.
One of: USER (Entered by the user); PRICE_HISTORY (Closing price held by this application); MARKET_DATA (Retrieved from a market data provider); APPORTIONED (Apportioned under the s112-185 method).
Optional. Blank = USER.</t>
      </text>
    </comment>
    <comment ref="I1" authorId="0" shapeId="0">
      <text>
        <t>Free text notes about the record.
Optional.</t>
      </text>
    </comment>
  </commentList>
</comments>
</file>

<file path=xl/comments/comment14.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Any date in the financial year the loss was made in, usually its last day. Not the year it is used in.</t>
      </text>
    </comment>
    <comment ref="D1" authorId="0" shapeId="0">
      <text>
        <t>A positive number. This is a loss; its sign is implied.
Required.</t>
      </text>
    </comment>
    <comment ref="E1" authorId="0" shapeId="0">
      <text>
        <t>Currency of amount, as a code such as AUD or USD.
Optional. Blank = AUD.</t>
      </text>
    </comment>
    <comment ref="F1" authorId="0" shapeId="0">
      <text>
        <t>Tick where this came from a return lodged before you started using this application, rather than from transactions it holds.
TRUE or FALSE.
Optional. Blank = False.</t>
      </text>
    </comment>
    <comment ref="G1" authorId="0" shapeId="0">
      <text>
        <t>Free text notes about the record.
Optional.</t>
      </text>
    </comment>
  </commentList>
</comments>
</file>

<file path=xl/comments/comment15.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fund the statement is from. Enter its name as listed in the Instrument table.
Required.</t>
      </text>
    </comment>
    <comment ref="D1" authorId="0" shapeId="0">
      <text>
        <t>The last day of the financial year the statement covers.
A date, such as 2024-07-01.
Required.</t>
      </text>
    </comment>
    <comment ref="E1" authorId="0" shapeId="0">
      <text>
        <t>Path to the annual statement. The file is copied into the app.
Optional.</t>
      </text>
    </comment>
    <comment ref="F1" authorId="0" shapeId="0">
      <text>
        <t>The legacy_id of the CostBaseAdjustment entered from this same statement. Optional; used to check the two agree.</t>
      </text>
    </comment>
    <comment ref="G1" authorId="0" shapeId="0">
      <text>
        <t>Free text notes about the record.
Optional.</t>
      </text>
    </comment>
  </commentList>
</comments>
</file>

<file path=xl/comments/comment16.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Which line of the statement this is.
One of: DISCOUNTED_TAP (Discounted capital gains - taxable Australian property); DISCOUNTED_NTAP (Discounted capital gains - non-taxable Australian property); OTHER_TAP (Other method capital gains - taxable Australian property); OTHER_NTAP (Other method capital gains - non-taxable Australian property); FOREIGN_CG_DISCOUNTED (Taxable foreign capital gains - discounted method); FOREIGN_CG_OTHER (Taxable foreign capital gains - other method); AMIT_GROSS_UP (AMIT CGT gross up amount); NET_CAPITAL_GAIN (Net capital gain); TOTAL_CY_CG (Total current year capital gains); OTHER_CG_DISTRIBUTION (Other capital gains distribution); COSTBASE_INCREASE (AMIT cost base net amount - shortfall (increase cost base)); COSTBASE_DECREASE (AMIT cost base net amount - excess (reduce cost base)); and 15 more.
Required.</t>
      </text>
    </comment>
    <comment ref="D1" authorId="0" shapeId="0">
      <text>
        <t>The amount shown on that line of the statement.
Required.</t>
      </text>
    </comment>
    <comment ref="E1" authorId="0" shapeId="0">
      <text>
        <t>Currency of amount, as a code such as AUD or USD.
Optional. Blank = AUD.</t>
      </text>
    </comment>
    <comment ref="F1" authorId="0" shapeId="0">
      <text>
        <t>The legacy_id of the AttributionStatement row this line is from.</t>
      </text>
    </comment>
    <comment ref="G1" authorId="0" shapeId="0">
      <text>
        <t>Free text notes about the record.
Optional.</t>
      </text>
    </comment>
  </commentList>
</comments>
</file>

<file path=xl/tables/table1.xml><?xml version="1.0" encoding="utf-8"?>
<table xmlns="http://schemas.openxmlformats.org/spreadsheetml/2006/main" id="1" name="table_info" displayName="table_info" ref="A1:E15" headerRowCount="1">
  <autoFilter ref="A1:E15"/>
  <tableColumns count="5">
    <tableColumn id="1" name="sheet_name"/>
    <tableColumn id="2" name="table_name"/>
    <tableColumn id="3" name="description"/>
    <tableColumn id="4" name="num_records"/>
    <tableColumn id="5" name="link"/>
  </tableColumns>
  <tableStyleInfo name="TableStyleMedium9" showFirstColumn="0" showLastColumn="0" showRowStripes="1" showColumnStripes="0"/>
</table>
</file>

<file path=xl/tables/table2.xml><?xml version="1.0" encoding="utf-8"?>
<table xmlns="http://schemas.openxmlformats.org/spreadsheetml/2006/main" id="2" name="Market" displayName="Market" ref="A1:G12" headerRowCount="1">
  <autoFilter ref="A1:G12"/>
  <tableColumns count="7">
    <tableColumn id="1" name="legacy_id"/>
    <tableColumn id="2" name="description"/>
    <tableColumn id="3" name="code"/>
    <tableColumn id="4" name="suffix"/>
    <tableColumn id="5" name="country"/>
    <tableColumn id="6" name="is_exchange_listed"/>
    <tableColumn id="7" name="notes"/>
  </tableColumns>
  <tableStyleInfo name="TableStyleMedium9" showFirstColumn="0" showLastColumn="0" showRowStripes="1" showColumnStripes="0"/>
</table>
</file>

<file path=xl/tables/table3.xml><?xml version="1.0" encoding="utf-8"?>
<table xmlns="http://schemas.openxmlformats.org/spreadsheetml/2006/main" id="3" name="Instrument" displayName="Instrument" ref="A1:I2353" headerRowCount="1">
  <autoFilter ref="A1:I2353"/>
  <tableColumns count="9">
    <tableColumn id="1" name="legacy_id"/>
    <tableColumn id="2" name="name"/>
    <tableColumn id="3" name="description"/>
    <tableColumn id="4" name="currency"/>
    <tableColumn id="5" name="market__code"/>
    <tableColumn id="6" name="legal_form"/>
    <tableColumn id="7" name="cgt_asset_category_override"/>
    <tableColumn id="8" name="is_taxable_australian_property_override"/>
    <tableColumn id="9" name="notes"/>
  </tableColumns>
  <tableStyleInfo name="TableStyleMedium9" showFirstColumn="0" showLastColumn="0" showRowStripes="1" showColumnStripes="0"/>
</table>
</file>

<file path=xl/tables/table4.xml><?xml version="1.0" encoding="utf-8"?>
<table xmlns="http://schemas.openxmlformats.org/spreadsheetml/2006/main" id="4" name="Buy" displayName="Buy" ref="A1:J348" headerRowCount="1">
  <autoFilter ref="A1:J348"/>
  <tableColumns count="10">
    <tableColumn id="1" name="legacy_id"/>
    <tableColumn id="2" name="instrument__name"/>
    <tableColumn id="3" name="date"/>
    <tableColumn id="4" name="quantity"/>
    <tableColumn id="5" name="unit_price"/>
    <tableColumn id="6" name="unit_price_currency"/>
    <tableColumn id="7" name="total_brokerage"/>
    <tableColumn id="8" name="total_brokerage_currency"/>
    <tableColumn id="9" name="file"/>
    <tableColumn id="10" name="notes"/>
  </tableColumns>
  <tableStyleInfo name="TableStyleMedium9" showFirstColumn="0" showLastColumn="0" showRowStripes="1" showColumnStripes="0"/>
</table>
</file>

<file path=xl/tables/table5.xml><?xml version="1.0" encoding="utf-8"?>
<table xmlns="http://schemas.openxmlformats.org/spreadsheetml/2006/main" id="5" name="Sell" displayName="Sell" ref="A1:K6" headerRowCount="1">
  <autoFilter ref="A1:K6"/>
  <tableColumns count="11">
    <tableColumn id="1" name="legacy_id"/>
    <tableColumn id="2" name="instrument__name"/>
    <tableColumn id="3" name="date"/>
    <tableColumn id="4" name="quantity"/>
    <tableColumn id="5" name="unit_price"/>
    <tableColumn id="6" name="unit_price_currency"/>
    <tableColumn id="7" name="total_brokerage"/>
    <tableColumn id="8" name="total_brokerage_currency"/>
    <tableColumn id="9" name="file"/>
    <tableColumn id="10" name="strategy"/>
    <tableColumn id="11" name="notes"/>
  </tableColumns>
  <tableStyleInfo name="TableStyleMedium9" showFirstColumn="0" showLastColumn="0" showRowStripes="1" showColumnStripes="0"/>
</table>
</file>

<file path=xl/tables/table6.xml><?xml version="1.0" encoding="utf-8"?>
<table xmlns="http://schemas.openxmlformats.org/spreadsheetml/2006/main" id="6" name="SellAllocation" displayName="SellAllocation" ref="A1:E4" headerRowCount="1">
  <autoFilter ref="A1:E4"/>
  <tableColumns count="5">
    <tableColumn id="1" name="legacy_id"/>
    <tableColumn id="2" name="quantity"/>
    <tableColumn id="3" name="lookup_legacy_sell"/>
    <tableColumn id="4" name="lookup_legacy_buy"/>
    <tableColumn id="5" name="notes"/>
  </tableColumns>
  <tableStyleInfo name="TableStyleMedium9" showFirstColumn="0" showLastColumn="0" showRowStripes="1" showColumnStripes="0"/>
</table>
</file>

<file path=xl/tables/table7.xml><?xml version="1.0" encoding="utf-8"?>
<table xmlns="http://schemas.openxmlformats.org/spreadsheetml/2006/main" id="7" name="ShareSplit" displayName="ShareSplit" ref="A1:H3" headerRowCount="1">
  <autoFilter ref="A1:H3"/>
  <tableColumns count="8">
    <tableColumn id="1" name="legacy_id"/>
    <tableColumn id="2" name="description"/>
    <tableColumn id="3" name="instrument__name"/>
    <tableColumn id="4" name="quantity_before"/>
    <tableColumn id="5" name="quantity_after"/>
    <tableColumn id="6" name="date"/>
    <tableColumn id="7" name="file"/>
    <tableColumn id="8" name="notes"/>
  </tableColumns>
  <tableStyleInfo name="TableStyleMedium9" showFirstColumn="0" showLastColumn="0" showRowStripes="1" showColumnStripes="0"/>
</table>
</file>

<file path=xl/tables/table8.xml><?xml version="1.0" encoding="utf-8"?>
<table xmlns="http://schemas.openxmlformats.org/spreadsheetml/2006/main" id="8" name="CostBaseAdjustment" displayName="CostBaseAdjustment" ref="A1:I22" headerRowCount="1">
  <autoFilter ref="A1:I22"/>
  <tableColumns count="9">
    <tableColumn id="1" name="legacy_id"/>
    <tableColumn id="2" name="description"/>
    <tableColumn id="3" name="cost_base_increase"/>
    <tableColumn id="4" name="cost_base_increase_currency"/>
    <tableColumn id="5" name="instrument__name"/>
    <tableColumn id="6" name="financial_year_end_date"/>
    <tableColumn id="7" name="file"/>
    <tableColumn id="8" name="allocation_method"/>
    <tableColumn id="9" name="notes"/>
  </tableColumns>
  <tableStyleInfo name="TableStyleMedium9" showFirstColumn="0" showLastColumn="0" showRowStripes="1" showColumnStripes="0"/>
</table>
</file>

<file path=xl/tables/table9.xml><?xml version="1.0" encoding="utf-8"?>
<table xmlns="http://schemas.openxmlformats.org/spreadsheetml/2006/main" id="9" name="Dividend" displayName="Dividend" ref="A1:R127" headerRowCount="1">
  <autoFilter ref="A1:R127"/>
  <tableColumns count="18">
    <tableColumn id="1" name="legacy_id"/>
    <tableColumn id="2" name="instrument__name"/>
    <tableColumn id="3" name="date"/>
    <tableColumn id="4" name="quantity"/>
    <tableColumn id="5" name="file"/>
    <tableColumn id="6" name="dividend_type"/>
    <tableColumn id="7" name="unfranked_amount_per_share"/>
    <tableColumn id="8" name="unfranked_amount_per_share_currency"/>
    <tableColumn id="9" name="franked_amount_per_share"/>
    <tableColumn id="10" name="franked_amount_per_share_currency"/>
    <tableColumn id="11" name="local_withholding_tax"/>
    <tableColumn id="12" name="local_withholding_tax_currency"/>
    <tableColumn id="13" name="foreign_tax_credit"/>
    <tableColumn id="14" name="foreign_tax_credit_currency"/>
    <tableColumn id="15" name="lic_capital_gain"/>
    <tableColumn id="16" name="lic_capital_gain_currency"/>
    <tableColumn id="17" name="corporate_tax_rate_percentage"/>
    <tableColumn id="18" name="notes"/>
  </tableColumns>
  <tableStyleInfo name="TableStyleMedium9" showFirstColumn="0" showLastColumn="0" showRowStripes="1" showColumnStripes="0"/>
</table>
</file>

<file path=xl/tables/table10.xml><?xml version="1.0" encoding="utf-8"?>
<table xmlns="http://schemas.openxmlformats.org/spreadsheetml/2006/main" id="10" name="Distribution" displayName="Distribution" ref="A1:J86" headerRowCount="1">
  <autoFilter ref="A1:J86"/>
  <tableColumns count="10">
    <tableColumn id="1" name="legacy_id"/>
    <tableColumn id="2" name="instrument__name"/>
    <tableColumn id="3" name="date"/>
    <tableColumn id="4" name="quantity"/>
    <tableColumn id="5" name="file"/>
    <tableColumn id="6" name="distribution_amount_per_share"/>
    <tableColumn id="7" name="distribution_amount_per_share_currency"/>
    <tableColumn id="8" name="total_withholding_tax"/>
    <tableColumn id="9" name="total_withholding_tax_currency"/>
    <tableColumn id="10" name="notes"/>
  </tableColumns>
  <tableStyleInfo name="TableStyleMedium9" showFirstColumn="0" showLastColumn="0" showRowStripes="1" showColumnStripes="0"/>
</table>
</file>

<file path=xl/tables/table11.xml><?xml version="1.0" encoding="utf-8"?>
<table xmlns="http://schemas.openxmlformats.org/spreadsheetml/2006/main" id="11" name="ResidencyPeriod" displayName="ResidencyPeriod" ref="A1:G2" headerRowCount="1">
  <autoFilter ref="A1:G2"/>
  <tableColumns count="7">
    <tableColumn id="1" name="legacy_id"/>
    <tableColumn id="2" name="description"/>
    <tableColumn id="3" name="status"/>
    <tableColumn id="4" name="start_date"/>
    <tableColumn id="5" name="end_date"/>
    <tableColumn id="6" name="i1_election_made"/>
    <tableColumn id="7" name="notes"/>
  </tableColumns>
  <tableStyleInfo name="TableStyleMedium9" showFirstColumn="0" showLastColumn="0" showRowStripes="1" showColumnStripes="0"/>
</table>
</file>

<file path=xl/tables/table12.xml><?xml version="1.0" encoding="utf-8"?>
<table xmlns="http://schemas.openxmlformats.org/spreadsheetml/2006/main" id="12" name="InstrumentValuation" displayName="InstrumentValuation" ref="A1:I2" headerRowCount="1">
  <autoFilter ref="A1:I2"/>
  <tableColumns count="9">
    <tableColumn id="1" name="legacy_id"/>
    <tableColumn id="2" name="description"/>
    <tableColumn id="3" name="instrument__name"/>
    <tableColumn id="4" name="valuation_date"/>
    <tableColumn id="5" name="unit_value"/>
    <tableColumn id="6" name="unit_value_currency"/>
    <tableColumn id="7" name="purpose"/>
    <tableColumn id="8" name="source"/>
    <tableColumn id="9" name="notes"/>
  </tableColumns>
  <tableStyleInfo name="TableStyleMedium9" showFirstColumn="0" showLastColumn="0" showRowStripes="1" showColumnStripes="0"/>
</table>
</file>

<file path=xl/tables/table13.xml><?xml version="1.0" encoding="utf-8"?>
<table xmlns="http://schemas.openxmlformats.org/spreadsheetml/2006/main" id="13" name="CapitalLossCarryForward" displayName="CapitalLossCarryForward" ref="A1:G2" headerRowCount="1">
  <autoFilter ref="A1:G2"/>
  <tableColumns count="7">
    <tableColumn id="1" name="legacy_id"/>
    <tableColumn id="2" name="description"/>
    <tableColumn id="3" name="financial_year_end_date"/>
    <tableColumn id="4" name="amount"/>
    <tableColumn id="5" name="amount_currency"/>
    <tableColumn id="6" name="is_opening_balance"/>
    <tableColumn id="7" name="notes"/>
  </tableColumns>
  <tableStyleInfo name="TableStyleMedium9" showFirstColumn="0" showLastColumn="0" showRowStripes="1" showColumnStripes="0"/>
</table>
</file>

<file path=xl/tables/table14.xml><?xml version="1.0" encoding="utf-8"?>
<table xmlns="http://schemas.openxmlformats.org/spreadsheetml/2006/main" id="14" name="AttributionStatement" displayName="AttributionStatement" ref="A1:G23" headerRowCount="1">
  <autoFilter ref="A1:G23"/>
  <tableColumns count="7">
    <tableColumn id="1" name="legacy_id"/>
    <tableColumn id="2" name="description"/>
    <tableColumn id="3" name="instrument__name"/>
    <tableColumn id="4" name="financial_year_end_date"/>
    <tableColumn id="5" name="file"/>
    <tableColumn id="6" name="lookup_legacy_adjustment"/>
    <tableColumn id="7" name="notes"/>
  </tableColumns>
  <tableStyleInfo name="TableStyleMedium9" showFirstColumn="0" showLastColumn="0" showRowStripes="1" showColumnStripes="0"/>
</table>
</file>

<file path=xl/tables/table15.xml><?xml version="1.0" encoding="utf-8"?>
<table xmlns="http://schemas.openxmlformats.org/spreadsheetml/2006/main" id="15" name="AttributionComponent" displayName="AttributionComponent" ref="A1:G231" headerRowCount="1">
  <autoFilter ref="A1:G231"/>
  <tableColumns count="7">
    <tableColumn id="1" name="legacy_id"/>
    <tableColumn id="2" name="description"/>
    <tableColumn id="3" name="component"/>
    <tableColumn id="4" name="amount"/>
    <tableColumn id="5" name="amount_currency"/>
    <tableColumn id="6" name="lookup_legacy_statement"/>
    <tableColumn id="7"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table" Target="/xl/tables/table3.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table" Target="/xl/tables/table7.xml" Id="rId1"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table" Target="/xl/tables/table10.xml" Id="rId1" /><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table" Target="/xl/tables/table11.xml" Id="rId1" /><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table" Target="/xl/tables/table12.xml" Id="rId1" /><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table" Target="/xl/tables/table13.xm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table" Target="/xl/tables/table14.xml" Id="rId1" /><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table" Target="/xl/tables/table15.xml" Id="rId1" /><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2.2" customWidth="1" min="1" max="1"/>
    <col width="25.2" customWidth="1" min="2" max="2"/>
    <col width="82.2" customWidth="1" min="3" max="3"/>
    <col width="13.2" customWidth="1" min="4" max="4"/>
    <col width="30.2" customWidth="1" min="5" max="5"/>
  </cols>
  <sheetData>
    <row r="1" ht="32" customHeight="1">
      <c r="A1" s="1" t="inlineStr">
        <is>
          <t>sheet_name</t>
        </is>
      </c>
      <c r="B1" s="1" t="inlineStr">
        <is>
          <t>table_name</t>
        </is>
      </c>
      <c r="C1" s="1" t="inlineStr">
        <is>
          <t>description</t>
        </is>
      </c>
      <c r="D1" s="1" t="inlineStr">
        <is>
          <t>num_records</t>
        </is>
      </c>
      <c r="E1" s="1" t="inlineStr">
        <is>
          <t>link</t>
        </is>
      </c>
      <c r="G1" t="inlineStr">
        <is>
          <t>FAKE DATA - generated for demonstration, not a real portfolio</t>
        </is>
      </c>
    </row>
    <row r="2">
      <c r="A2" t="inlineStr">
        <is>
          <t>01</t>
        </is>
      </c>
      <c r="B2" t="inlineStr">
        <is>
          <t>Market</t>
        </is>
      </c>
      <c r="C2" t="inlineStr">
        <is>
          <t>Share markets, such as ASX, NASDAQ, LSE, etc</t>
        </is>
      </c>
      <c r="D2" t="n">
        <v>11</v>
      </c>
      <c r="E2" s="2">
        <f>HYPERLINK("#'01'!A1", "01")</f>
        <v/>
      </c>
    </row>
    <row r="3">
      <c r="A3" t="inlineStr">
        <is>
          <t>02</t>
        </is>
      </c>
      <c r="B3" t="inlineStr">
        <is>
          <t>Instrument</t>
        </is>
      </c>
      <c r="C3" t="inlineStr">
        <is>
          <t>Share codes, eg BHP, VGS, VAS, etc</t>
        </is>
      </c>
      <c r="D3" t="n">
        <v>2352</v>
      </c>
      <c r="E3" s="2">
        <f>HYPERLINK("#'02'!A1", "02")</f>
        <v/>
      </c>
    </row>
    <row r="4">
      <c r="A4" t="inlineStr">
        <is>
          <t>03</t>
        </is>
      </c>
      <c r="B4" t="inlineStr">
        <is>
          <t>Buy</t>
        </is>
      </c>
      <c r="C4" t="inlineStr">
        <is>
          <t>Purchases of share parcels.</t>
        </is>
      </c>
      <c r="D4" t="n">
        <v>347</v>
      </c>
      <c r="E4" s="2">
        <f>HYPERLINK("#'03'!A1", "03")</f>
        <v/>
      </c>
    </row>
    <row r="5">
      <c r="A5" t="inlineStr">
        <is>
          <t>04</t>
        </is>
      </c>
      <c r="B5" t="inlineStr">
        <is>
          <t>Sell</t>
        </is>
      </c>
      <c r="C5" t="inlineStr">
        <is>
          <t>Sales of shares.</t>
        </is>
      </c>
      <c r="D5" t="n">
        <v>5</v>
      </c>
      <c r="E5" s="2">
        <f>HYPERLINK("#'04'!A1", "04")</f>
        <v/>
      </c>
    </row>
    <row r="6">
      <c r="A6" t="inlineStr">
        <is>
          <t>05</t>
        </is>
      </c>
      <c r="B6" t="inlineStr">
        <is>
          <t>SellAllocation</t>
        </is>
      </c>
      <c r="C6" t="inlineStr">
        <is>
          <t>Allocations of sell events to specific parcels.</t>
        </is>
      </c>
      <c r="D6" t="n">
        <v>3</v>
      </c>
      <c r="E6" s="2">
        <f>HYPERLINK("#'05'!A1", "05")</f>
        <v/>
      </c>
    </row>
    <row r="7">
      <c r="A7" t="inlineStr">
        <is>
          <t>06</t>
        </is>
      </c>
      <c r="B7" t="inlineStr">
        <is>
          <t>ShareSplit</t>
        </is>
      </c>
      <c r="C7" s="3" t="inlineStr">
        <is>
          <t>Events which transform parcels into new parcels with different cost base and quantity.</t>
        </is>
      </c>
      <c r="D7" t="n">
        <v>2</v>
      </c>
      <c r="E7" s="2">
        <f>HYPERLINK("#'06'!A1", "06")</f>
        <v/>
      </c>
    </row>
    <row r="8">
      <c r="A8" t="inlineStr">
        <is>
          <t>07</t>
        </is>
      </c>
      <c r="B8" t="inlineStr">
        <is>
          <t>CostBaseAdjustment</t>
        </is>
      </c>
      <c r="C8" t="inlineStr">
        <is>
          <t>Cost base adjustments applied to instruments, i.e. AMIT cost base adjustments.</t>
        </is>
      </c>
      <c r="D8" t="n">
        <v>21</v>
      </c>
      <c r="E8" s="2">
        <f>HYPERLINK("#'07'!A1", "07")</f>
        <v/>
      </c>
    </row>
    <row r="9">
      <c r="A9" t="inlineStr">
        <is>
          <t>08</t>
        </is>
      </c>
      <c r="B9" t="inlineStr">
        <is>
          <t>Dividend</t>
        </is>
      </c>
      <c r="C9" t="inlineStr">
        <is>
          <t>Dividends, including local dividends and foreign dividends.</t>
        </is>
      </c>
      <c r="D9" t="n">
        <v>126</v>
      </c>
      <c r="E9" s="2">
        <f>HYPERLINK("#'08'!A1", "08")</f>
        <v/>
      </c>
    </row>
    <row r="10">
      <c r="A10" t="inlineStr">
        <is>
          <t>09</t>
        </is>
      </c>
      <c r="B10" t="inlineStr">
        <is>
          <t>Distribution</t>
        </is>
      </c>
      <c r="C10" t="inlineStr">
        <is>
          <t>Distributions, such as the income received from ETFs</t>
        </is>
      </c>
      <c r="D10" t="n">
        <v>85</v>
      </c>
      <c r="E10" s="2">
        <f>HYPERLINK("#'09'!A1", "09")</f>
        <v/>
      </c>
    </row>
    <row r="11">
      <c r="A11" t="inlineStr">
        <is>
          <t>10</t>
        </is>
      </c>
      <c r="B11" t="inlineStr">
        <is>
          <t>ResidencyPeriod</t>
        </is>
      </c>
      <c r="C11" s="3" t="inlineStr">
        <is>
          <t>Optional: you can leave this table empty, or enter this information in the app later. Periods of Australian tax residency, used to apportion the CGT discount.</t>
        </is>
      </c>
      <c r="D11" t="n">
        <v>1</v>
      </c>
      <c r="E11" s="2">
        <f>HYPERLINK("#'10'!A1", "10")</f>
        <v/>
      </c>
    </row>
    <row r="12">
      <c r="A12" t="inlineStr">
        <is>
          <t>11</t>
        </is>
      </c>
      <c r="B12" t="inlineStr">
        <is>
          <t>InstrumentValuation</t>
        </is>
      </c>
      <c r="C12" s="3" t="inlineStr">
        <is>
          <t>Optional: you can leave this table empty, or enter this information in the app later. The value of one unit of an instrument on a date, for a deemed disposal.</t>
        </is>
      </c>
      <c r="D12" t="n">
        <v>1</v>
      </c>
      <c r="E12" s="2">
        <f>HYPERLINK("#'11'!A1", "11")</f>
        <v/>
      </c>
    </row>
    <row r="13">
      <c r="A13" t="inlineStr">
        <is>
          <t>12</t>
        </is>
      </c>
      <c r="B13" t="inlineStr">
        <is>
          <t>CapitalLossCarryForward</t>
        </is>
      </c>
      <c r="C13" s="3" t="inlineStr">
        <is>
          <t>Optional: you can leave this table empty, or enter this information in the app later. Capital losses carried forward into a later income year.</t>
        </is>
      </c>
      <c r="D13" t="n">
        <v>1</v>
      </c>
      <c r="E13" s="2">
        <f>HYPERLINK("#'12'!A1", "12")</f>
        <v/>
      </c>
    </row>
    <row r="14">
      <c r="A14" t="inlineStr">
        <is>
          <t>13</t>
        </is>
      </c>
      <c r="B14" t="inlineStr">
        <is>
          <t>AttributionStatement</t>
        </is>
      </c>
      <c r="C14" s="3" t="inlineStr">
        <is>
          <t>Optional: you can leave this table empty, or enter this information in the app later. Annual tax statements from managed investment trusts (AMMA statements).</t>
        </is>
      </c>
      <c r="D14" t="n">
        <v>22</v>
      </c>
      <c r="E14" s="2">
        <f>HYPERLINK("#'13'!A1", "13")</f>
        <v/>
      </c>
    </row>
    <row r="15">
      <c r="A15" t="inlineStr">
        <is>
          <t>14</t>
        </is>
      </c>
      <c r="B15" t="inlineStr">
        <is>
          <t>AttributionComponent</t>
        </is>
      </c>
      <c r="C15" s="3" t="inlineStr">
        <is>
          <t>Optional: you can leave this table empty, or enter this information in the app later. Individual components of a managed investment trust annual statement.</t>
        </is>
      </c>
      <c r="D15" t="n">
        <v>230</v>
      </c>
      <c r="E15" s="2">
        <f>HYPERLINK("#'14'!A1", "14")</f>
        <v/>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1.2" customWidth="1" min="1" max="1"/>
    <col width="45.2" customWidth="1" min="2" max="2"/>
    <col width="8.199999999999999" customWidth="1" min="3" max="3"/>
    <col width="8.199999999999999" customWidth="1" min="4" max="4"/>
    <col width="9.199999999999999" customWidth="1" min="5" max="5"/>
    <col width="20.2" customWidth="1" min="6" max="6"/>
    <col width="7.2" customWidth="1" min="7" max="7"/>
  </cols>
  <sheetData>
    <row r="1" ht="32" customHeight="1">
      <c r="A1" s="1" t="inlineStr">
        <is>
          <t>legacy_id</t>
        </is>
      </c>
      <c r="B1" s="1" t="inlineStr">
        <is>
          <t>description</t>
        </is>
      </c>
      <c r="C1" s="1" t="inlineStr">
        <is>
          <t>code</t>
        </is>
      </c>
      <c r="D1" s="1" t="inlineStr">
        <is>
          <t>suffix</t>
        </is>
      </c>
      <c r="E1" s="1" t="inlineStr">
        <is>
          <t>country</t>
        </is>
      </c>
      <c r="F1" s="1" t="inlineStr">
        <is>
          <t>is_exchange_listed</t>
        </is>
      </c>
      <c r="G1" s="1" t="inlineStr">
        <is>
          <t>notes</t>
        </is>
      </c>
    </row>
    <row r="2">
      <c r="B2" t="inlineStr">
        <is>
          <t>Australian Stock Exchange</t>
        </is>
      </c>
      <c r="C2" t="inlineStr">
        <is>
          <t>ASX</t>
        </is>
      </c>
      <c r="D2" t="inlineStr">
        <is>
          <t>.AX</t>
        </is>
      </c>
    </row>
    <row r="3">
      <c r="B3" t="inlineStr">
        <is>
          <t>NASDAQ</t>
        </is>
      </c>
      <c r="C3" t="inlineStr">
        <is>
          <t>NASDAQ</t>
        </is>
      </c>
    </row>
    <row r="4">
      <c r="B4" t="inlineStr">
        <is>
          <t>New York Stock Exchange</t>
        </is>
      </c>
      <c r="C4" t="inlineStr">
        <is>
          <t>NYSE</t>
        </is>
      </c>
    </row>
    <row r="5">
      <c r="B5" t="inlineStr">
        <is>
          <t>London Stock Exchange</t>
        </is>
      </c>
      <c r="C5" t="inlineStr">
        <is>
          <t>LSE</t>
        </is>
      </c>
      <c r="D5" t="inlineStr">
        <is>
          <t>.L</t>
        </is>
      </c>
    </row>
    <row r="6">
      <c r="B6" t="inlineStr">
        <is>
          <t>New Zealand Stock Exchange</t>
        </is>
      </c>
      <c r="C6" t="inlineStr">
        <is>
          <t>NZX</t>
        </is>
      </c>
      <c r="D6" t="inlineStr">
        <is>
          <t>.NZ</t>
        </is>
      </c>
    </row>
    <row r="7">
      <c r="B7" t="inlineStr">
        <is>
          <t>Toronto Stock Exchange</t>
        </is>
      </c>
      <c r="C7" t="inlineStr">
        <is>
          <t>TSX</t>
        </is>
      </c>
      <c r="D7" t="inlineStr">
        <is>
          <t>.TO</t>
        </is>
      </c>
    </row>
    <row r="8">
      <c r="B8" t="inlineStr">
        <is>
          <t>Japan Exchange Group (Tokyo Stock Exchange)</t>
        </is>
      </c>
      <c r="C8" t="inlineStr">
        <is>
          <t>JPX</t>
        </is>
      </c>
      <c r="D8" t="inlineStr">
        <is>
          <t>.T</t>
        </is>
      </c>
    </row>
    <row r="9">
      <c r="B9" t="inlineStr">
        <is>
          <t>Hong Kong Stock Exchange</t>
        </is>
      </c>
      <c r="C9" t="inlineStr">
        <is>
          <t>HKEX</t>
        </is>
      </c>
      <c r="D9" t="inlineStr">
        <is>
          <t>.HK</t>
        </is>
      </c>
    </row>
    <row r="10">
      <c r="B10" t="inlineStr">
        <is>
          <t>Shanghai Stock Exchange</t>
        </is>
      </c>
      <c r="C10" t="inlineStr">
        <is>
          <t>SSE</t>
        </is>
      </c>
      <c r="D10" t="inlineStr">
        <is>
          <t>.SS</t>
        </is>
      </c>
    </row>
    <row r="11">
      <c r="B11" t="inlineStr">
        <is>
          <t>Shenzhen Stock Exchange</t>
        </is>
      </c>
      <c r="C11" t="inlineStr">
        <is>
          <t>SZSE</t>
        </is>
      </c>
      <c r="D11" t="inlineStr">
        <is>
          <t>.SZ</t>
        </is>
      </c>
    </row>
    <row r="12">
      <c r="B12" t="inlineStr">
        <is>
          <t>National Stock Exchange of India</t>
        </is>
      </c>
      <c r="C12" t="inlineStr">
        <is>
          <t>NSE</t>
        </is>
      </c>
      <c r="D12" t="inlineStr">
        <is>
          <t>.NS</t>
        </is>
      </c>
    </row>
  </sheetData>
  <dataValidations count="1">
    <dataValidation sqref="F2:F512" showDropDown="0" showInputMessage="0" showErrorMessage="1" allowBlank="1" errorTitle="Not an allowed value" error="Pick a value for is_exchange_listed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08"/>
  <sheetViews>
    <sheetView workbookViewId="0">
      <selection activeCell="A1" sqref="A1"/>
    </sheetView>
  </sheetViews>
  <sheetFormatPr baseColWidth="8" defaultRowHeight="15"/>
  <cols>
    <col width="8.199999999999999" customWidth="1" min="1" max="1"/>
    <col width="10.2" customWidth="1" min="2" max="2"/>
    <col width="23.2" customWidth="1" min="3" max="3"/>
    <col width="40.2" customWidth="1" min="4" max="4"/>
    <col width="15.2" customWidth="1" min="5" max="5"/>
    <col width="38.2" customWidth="1" min="6" max="6"/>
    <col width="24.2" customWidth="1" min="7" max="7"/>
    <col width="24.2" customWidth="1" min="8" max="8"/>
    <col width="29.2" customWidth="1" min="9" max="9"/>
    <col width="28.2" customWidth="1" min="10" max="10"/>
    <col width="32.2" customWidth="1" min="11" max="11"/>
  </cols>
  <sheetData>
    <row r="1">
      <c r="A1" s="4" t="inlineStr">
        <is>
          <t>yes/no</t>
        </is>
      </c>
      <c r="B1" s="4" t="inlineStr">
        <is>
          <t>currency</t>
        </is>
      </c>
      <c r="C1" s="4" t="inlineStr">
        <is>
          <t>Instrument.legal_form</t>
        </is>
      </c>
      <c r="D1" s="4" t="inlineStr">
        <is>
          <t>Instrument.cgt_asset_category_override</t>
        </is>
      </c>
      <c r="E1" s="4" t="inlineStr">
        <is>
          <t>Sell.strategy</t>
        </is>
      </c>
      <c r="F1" s="4" t="inlineStr">
        <is>
          <t>CostBaseAdjustment.allocation_method</t>
        </is>
      </c>
      <c r="G1" s="4" t="inlineStr">
        <is>
          <t>Dividend.dividend_type</t>
        </is>
      </c>
      <c r="H1" s="4" t="inlineStr">
        <is>
          <t>ResidencyPeriod.status</t>
        </is>
      </c>
      <c r="I1" s="4" t="inlineStr">
        <is>
          <t>InstrumentValuation.purpose</t>
        </is>
      </c>
      <c r="J1" s="4" t="inlineStr">
        <is>
          <t>InstrumentValuation.source</t>
        </is>
      </c>
      <c r="K1" s="4" t="inlineStr">
        <is>
          <t>AttributionComponent.component</t>
        </is>
      </c>
    </row>
    <row r="2">
      <c r="A2" t="b">
        <v>1</v>
      </c>
      <c r="B2" t="inlineStr">
        <is>
          <t>XUA</t>
        </is>
      </c>
      <c r="C2" t="inlineStr">
        <is>
          <t>UNKNOWN</t>
        </is>
      </c>
      <c r="D2" t="inlineStr">
        <is>
          <t>AU_LISTED_SHARES</t>
        </is>
      </c>
      <c r="E2" t="inlineStr">
        <is>
          <t>FIFO</t>
        </is>
      </c>
      <c r="F2" t="inlineStr">
        <is>
          <t>QTY_HELD</t>
        </is>
      </c>
      <c r="G2" t="inlineStr">
        <is>
          <t>LOCAL</t>
        </is>
      </c>
      <c r="H2" t="inlineStr">
        <is>
          <t>RESIDENT</t>
        </is>
      </c>
      <c r="I2" t="inlineStr">
        <is>
          <t>CUTOVER_2027</t>
        </is>
      </c>
      <c r="J2" t="inlineStr">
        <is>
          <t>USER</t>
        </is>
      </c>
      <c r="K2" t="inlineStr">
        <is>
          <t>DISCOUNTED_TAP</t>
        </is>
      </c>
    </row>
    <row r="3">
      <c r="A3" t="b">
        <v>0</v>
      </c>
      <c r="B3" t="inlineStr">
        <is>
          <t>AFN</t>
        </is>
      </c>
      <c r="C3" t="inlineStr">
        <is>
          <t>COMPANY</t>
        </is>
      </c>
      <c r="D3" t="inlineStr">
        <is>
          <t>OTHER_SHARES</t>
        </is>
      </c>
      <c r="E3" t="inlineStr">
        <is>
          <t>LIFO</t>
        </is>
      </c>
      <c r="F3" t="inlineStr">
        <is>
          <t>MANUAL</t>
        </is>
      </c>
      <c r="G3" t="inlineStr">
        <is>
          <t>FOREIGN</t>
        </is>
      </c>
      <c r="H3" t="inlineStr">
        <is>
          <t>FOREIGN</t>
        </is>
      </c>
      <c r="I3" t="inlineStr">
        <is>
          <t>DEPARTURE</t>
        </is>
      </c>
      <c r="J3" t="inlineStr">
        <is>
          <t>PRICE_HISTORY</t>
        </is>
      </c>
      <c r="K3" t="inlineStr">
        <is>
          <t>DISCOUNTED_NTAP</t>
        </is>
      </c>
    </row>
    <row r="4">
      <c r="B4" t="inlineStr">
        <is>
          <t>AFA</t>
        </is>
      </c>
      <c r="C4" t="inlineStr">
        <is>
          <t>UNIT_TRUST</t>
        </is>
      </c>
      <c r="D4" t="inlineStr">
        <is>
          <t>AU_LISTED_UNITS</t>
        </is>
      </c>
      <c r="E4" t="inlineStr">
        <is>
          <t>MIN_CGT</t>
        </is>
      </c>
      <c r="H4" t="inlineStr">
        <is>
          <t>TEMPORARY</t>
        </is>
      </c>
      <c r="I4" t="inlineStr">
        <is>
          <t>ARRIVAL</t>
        </is>
      </c>
      <c r="J4" t="inlineStr">
        <is>
          <t>MARKET_DATA</t>
        </is>
      </c>
      <c r="K4" t="inlineStr">
        <is>
          <t>OTHER_TAP</t>
        </is>
      </c>
    </row>
    <row r="5">
      <c r="B5" t="inlineStr">
        <is>
          <t>ALL</t>
        </is>
      </c>
      <c r="C5" t="inlineStr">
        <is>
          <t>STAPLED</t>
        </is>
      </c>
      <c r="D5" t="inlineStr">
        <is>
          <t>OTHER_UNITS</t>
        </is>
      </c>
      <c r="E5" t="inlineStr">
        <is>
          <t>MANUAL</t>
        </is>
      </c>
      <c r="I5" t="inlineStr">
        <is>
          <t>PRE_CGT</t>
        </is>
      </c>
      <c r="J5" t="inlineStr">
        <is>
          <t>APPORTIONED</t>
        </is>
      </c>
      <c r="K5" t="inlineStr">
        <is>
          <t>OTHER_NTAP</t>
        </is>
      </c>
    </row>
    <row r="6">
      <c r="B6" t="inlineStr">
        <is>
          <t>ALK</t>
        </is>
      </c>
      <c r="C6" t="inlineStr">
        <is>
          <t>RIGHT_OPTION</t>
        </is>
      </c>
      <c r="D6" t="inlineStr">
        <is>
          <t>AU_REAL_ESTATE</t>
        </is>
      </c>
      <c r="I6" t="inlineStr">
        <is>
          <t>OTHER</t>
        </is>
      </c>
      <c r="K6" t="inlineStr">
        <is>
          <t>FOREIGN_CG_DISCOUNTED</t>
        </is>
      </c>
    </row>
    <row r="7">
      <c r="B7" t="inlineStr">
        <is>
          <t>DZD</t>
        </is>
      </c>
      <c r="C7" t="inlineStr">
        <is>
          <t>DEBT</t>
        </is>
      </c>
      <c r="D7" t="inlineStr">
        <is>
          <t>OVERSEAS_REAL_ESTATE</t>
        </is>
      </c>
      <c r="K7" t="inlineStr">
        <is>
          <t>FOREIGN_CG_OTHER</t>
        </is>
      </c>
    </row>
    <row r="8">
      <c r="B8" t="inlineStr">
        <is>
          <t>ADP</t>
        </is>
      </c>
      <c r="C8" t="inlineStr">
        <is>
          <t>REAL_PROPERTY</t>
        </is>
      </c>
      <c r="D8" t="inlineStr">
        <is>
          <t>COLLECTABLES</t>
        </is>
      </c>
      <c r="K8" t="inlineStr">
        <is>
          <t>AMIT_GROSS_UP</t>
        </is>
      </c>
    </row>
    <row r="9">
      <c r="B9" t="inlineStr">
        <is>
          <t>AOA</t>
        </is>
      </c>
      <c r="C9" t="inlineStr">
        <is>
          <t>COLLECTABLE</t>
        </is>
      </c>
      <c r="D9" t="inlineStr">
        <is>
          <t>OTHER_ASSETS</t>
        </is>
      </c>
      <c r="K9" t="inlineStr">
        <is>
          <t>NET_CAPITAL_GAIN</t>
        </is>
      </c>
    </row>
    <row r="10">
      <c r="B10" t="inlineStr">
        <is>
          <t>AOK</t>
        </is>
      </c>
      <c r="C10" t="inlineStr">
        <is>
          <t>OTHER</t>
        </is>
      </c>
      <c r="K10" t="inlineStr">
        <is>
          <t>TOTAL_CY_CG</t>
        </is>
      </c>
    </row>
    <row r="11">
      <c r="B11" t="inlineStr">
        <is>
          <t>AON</t>
        </is>
      </c>
      <c r="K11" t="inlineStr">
        <is>
          <t>OTHER_CG_DISTRIBUTION</t>
        </is>
      </c>
    </row>
    <row r="12">
      <c r="B12" t="inlineStr">
        <is>
          <t>AOR</t>
        </is>
      </c>
      <c r="K12" t="inlineStr">
        <is>
          <t>COSTBASE_INCREASE</t>
        </is>
      </c>
    </row>
    <row r="13">
      <c r="B13" t="inlineStr">
        <is>
          <t>ARA</t>
        </is>
      </c>
      <c r="K13" t="inlineStr">
        <is>
          <t>COSTBASE_DECREASE</t>
        </is>
      </c>
    </row>
    <row r="14">
      <c r="B14" t="inlineStr">
        <is>
          <t>ARS</t>
        </is>
      </c>
      <c r="K14" t="inlineStr">
        <is>
          <t>TAX_DEFERRED</t>
        </is>
      </c>
    </row>
    <row r="15">
      <c r="B15" t="inlineStr">
        <is>
          <t>ARM</t>
        </is>
      </c>
      <c r="K15" t="inlineStr">
        <is>
          <t>CGT_CONCESSION</t>
        </is>
      </c>
    </row>
    <row r="16">
      <c r="B16" t="inlineStr">
        <is>
          <t>ARP</t>
        </is>
      </c>
      <c r="K16" t="inlineStr">
        <is>
          <t>TAX_FREE</t>
        </is>
      </c>
    </row>
    <row r="17">
      <c r="B17" t="inlineStr">
        <is>
          <t>ARL</t>
        </is>
      </c>
      <c r="K17" t="inlineStr">
        <is>
          <t>TAX_EXEMPT</t>
        </is>
      </c>
    </row>
    <row r="18">
      <c r="B18" t="inlineStr">
        <is>
          <t>AMD</t>
        </is>
      </c>
      <c r="K18" t="inlineStr">
        <is>
          <t>NON_ATTRIBUTABLE</t>
        </is>
      </c>
    </row>
    <row r="19">
      <c r="B19" t="inlineStr">
        <is>
          <t>AWG</t>
        </is>
      </c>
      <c r="K19" t="inlineStr">
        <is>
          <t>FRANKED_DISTRIBUTION</t>
        </is>
      </c>
    </row>
    <row r="20">
      <c r="B20" t="inlineStr">
        <is>
          <t>AUD</t>
        </is>
      </c>
      <c r="K20" t="inlineStr">
        <is>
          <t>FRANKING_CREDIT</t>
        </is>
      </c>
    </row>
    <row r="21">
      <c r="B21" t="inlineStr">
        <is>
          <t>ATS</t>
        </is>
      </c>
      <c r="K21" t="inlineStr">
        <is>
          <t>UNFRANKED_DISTRIBUTION</t>
        </is>
      </c>
    </row>
    <row r="22">
      <c r="B22" t="inlineStr">
        <is>
          <t>AZN</t>
        </is>
      </c>
      <c r="K22" t="inlineStr">
        <is>
          <t>INTEREST</t>
        </is>
      </c>
    </row>
    <row r="23">
      <c r="B23" t="inlineStr">
        <is>
          <t>AZM</t>
        </is>
      </c>
      <c r="K23" t="inlineStr">
        <is>
          <t>OTHER_INCOME</t>
        </is>
      </c>
    </row>
    <row r="24">
      <c r="B24" t="inlineStr">
        <is>
          <t>BSD</t>
        </is>
      </c>
      <c r="K24" t="inlineStr">
        <is>
          <t>FOREIGN_SOURCE_INCOME</t>
        </is>
      </c>
    </row>
    <row r="25">
      <c r="B25" t="inlineStr">
        <is>
          <t>BHD</t>
        </is>
      </c>
      <c r="K25" t="inlineStr">
        <is>
          <t>FOREIGN_INCOME_TAX_OFFSET</t>
        </is>
      </c>
    </row>
    <row r="26">
      <c r="B26" t="inlineStr">
        <is>
          <t>BDT</t>
        </is>
      </c>
      <c r="K26" t="inlineStr">
        <is>
          <t>NON_ASSESSABLE_NON_EXEMPT</t>
        </is>
      </c>
    </row>
    <row r="27">
      <c r="B27" t="inlineStr">
        <is>
          <t>BBD</t>
        </is>
      </c>
      <c r="K27" t="inlineStr">
        <is>
          <t>WITHHOLDING_CREDIT</t>
        </is>
      </c>
    </row>
    <row r="28">
      <c r="B28" t="inlineStr">
        <is>
          <t>BYN</t>
        </is>
      </c>
      <c r="K28" t="inlineStr">
        <is>
          <t>WITHHOLDING_DEDUCTED</t>
        </is>
      </c>
    </row>
    <row r="29">
      <c r="B29" t="inlineStr">
        <is>
          <t>BYB</t>
        </is>
      </c>
    </row>
    <row r="30">
      <c r="B30" t="inlineStr">
        <is>
          <t>BYR</t>
        </is>
      </c>
    </row>
    <row r="31">
      <c r="B31" t="inlineStr">
        <is>
          <t>BEF</t>
        </is>
      </c>
    </row>
    <row r="32">
      <c r="B32" t="inlineStr">
        <is>
          <t>BEC</t>
        </is>
      </c>
    </row>
    <row r="33">
      <c r="B33" t="inlineStr">
        <is>
          <t>BEL</t>
        </is>
      </c>
    </row>
    <row r="34">
      <c r="B34" t="inlineStr">
        <is>
          <t>BZD</t>
        </is>
      </c>
    </row>
    <row r="35">
      <c r="B35" t="inlineStr">
        <is>
          <t>BMD</t>
        </is>
      </c>
    </row>
    <row r="36">
      <c r="B36" t="inlineStr">
        <is>
          <t>BTN</t>
        </is>
      </c>
    </row>
    <row r="37">
      <c r="B37" t="inlineStr">
        <is>
          <t>BOB</t>
        </is>
      </c>
    </row>
    <row r="38">
      <c r="B38" t="inlineStr">
        <is>
          <t>BOL</t>
        </is>
      </c>
    </row>
    <row r="39">
      <c r="B39" t="inlineStr">
        <is>
          <t>BOV</t>
        </is>
      </c>
    </row>
    <row r="40">
      <c r="B40" t="inlineStr">
        <is>
          <t>BOP</t>
        </is>
      </c>
    </row>
    <row r="41">
      <c r="B41" t="inlineStr">
        <is>
          <t>VED</t>
        </is>
      </c>
    </row>
    <row r="42">
      <c r="B42" t="inlineStr">
        <is>
          <t>BAM</t>
        </is>
      </c>
    </row>
    <row r="43">
      <c r="B43" t="inlineStr">
        <is>
          <t>BAD</t>
        </is>
      </c>
    </row>
    <row r="44">
      <c r="B44" t="inlineStr">
        <is>
          <t>BAN</t>
        </is>
      </c>
    </row>
    <row r="45">
      <c r="B45" t="inlineStr">
        <is>
          <t>BWP</t>
        </is>
      </c>
    </row>
    <row r="46">
      <c r="B46" t="inlineStr">
        <is>
          <t>BRC</t>
        </is>
      </c>
    </row>
    <row r="47">
      <c r="B47" t="inlineStr">
        <is>
          <t>BRZ</t>
        </is>
      </c>
    </row>
    <row r="48">
      <c r="B48" t="inlineStr">
        <is>
          <t>BRE</t>
        </is>
      </c>
    </row>
    <row r="49">
      <c r="B49" t="inlineStr">
        <is>
          <t>BRR</t>
        </is>
      </c>
    </row>
    <row r="50">
      <c r="B50" t="inlineStr">
        <is>
          <t>BRN</t>
        </is>
      </c>
    </row>
    <row r="51">
      <c r="B51" t="inlineStr">
        <is>
          <t>BRB</t>
        </is>
      </c>
    </row>
    <row r="52">
      <c r="B52" t="inlineStr">
        <is>
          <t>BRL</t>
        </is>
      </c>
    </row>
    <row r="53">
      <c r="B53" t="inlineStr">
        <is>
          <t>GBP</t>
        </is>
      </c>
    </row>
    <row r="54">
      <c r="B54" t="inlineStr">
        <is>
          <t>BND</t>
        </is>
      </c>
    </row>
    <row r="55">
      <c r="B55" t="inlineStr">
        <is>
          <t>BGL</t>
        </is>
      </c>
    </row>
    <row r="56">
      <c r="B56" t="inlineStr">
        <is>
          <t>BGN</t>
        </is>
      </c>
    </row>
    <row r="57">
      <c r="B57" t="inlineStr">
        <is>
          <t>BGO</t>
        </is>
      </c>
    </row>
    <row r="58">
      <c r="B58" t="inlineStr">
        <is>
          <t>BGM</t>
        </is>
      </c>
    </row>
    <row r="59">
      <c r="B59" t="inlineStr">
        <is>
          <t>BUK</t>
        </is>
      </c>
    </row>
    <row r="60">
      <c r="B60" t="inlineStr">
        <is>
          <t>BIF</t>
        </is>
      </c>
    </row>
    <row r="61">
      <c r="B61" t="inlineStr">
        <is>
          <t>XPF</t>
        </is>
      </c>
    </row>
    <row r="62">
      <c r="B62" t="inlineStr">
        <is>
          <t>KHR</t>
        </is>
      </c>
    </row>
    <row r="63">
      <c r="B63" t="inlineStr">
        <is>
          <t>CAD</t>
        </is>
      </c>
    </row>
    <row r="64">
      <c r="B64" t="inlineStr">
        <is>
          <t>CVE</t>
        </is>
      </c>
    </row>
    <row r="65">
      <c r="B65" t="inlineStr">
        <is>
          <t>KYD</t>
        </is>
      </c>
    </row>
    <row r="66">
      <c r="B66" t="inlineStr">
        <is>
          <t>XAF</t>
        </is>
      </c>
    </row>
    <row r="67">
      <c r="B67" t="inlineStr">
        <is>
          <t>CLE</t>
        </is>
      </c>
    </row>
    <row r="68">
      <c r="B68" t="inlineStr">
        <is>
          <t>CLP</t>
        </is>
      </c>
    </row>
    <row r="69">
      <c r="B69" t="inlineStr">
        <is>
          <t>CLF</t>
        </is>
      </c>
    </row>
    <row r="70">
      <c r="B70" t="inlineStr">
        <is>
          <t>CNX</t>
        </is>
      </c>
    </row>
    <row r="71">
      <c r="B71" t="inlineStr">
        <is>
          <t>CNY</t>
        </is>
      </c>
    </row>
    <row r="72">
      <c r="B72" t="inlineStr">
        <is>
          <t>CNH</t>
        </is>
      </c>
    </row>
    <row r="73">
      <c r="B73" t="inlineStr">
        <is>
          <t>COP</t>
        </is>
      </c>
    </row>
    <row r="74">
      <c r="B74" t="inlineStr">
        <is>
          <t>COU</t>
        </is>
      </c>
    </row>
    <row r="75">
      <c r="B75" t="inlineStr">
        <is>
          <t>KMF</t>
        </is>
      </c>
    </row>
    <row r="76">
      <c r="B76" t="inlineStr">
        <is>
          <t>CDF</t>
        </is>
      </c>
    </row>
    <row r="77">
      <c r="B77" t="inlineStr">
        <is>
          <t>CRC</t>
        </is>
      </c>
    </row>
    <row r="78">
      <c r="B78" t="inlineStr">
        <is>
          <t>HRD</t>
        </is>
      </c>
    </row>
    <row r="79">
      <c r="B79" t="inlineStr">
        <is>
          <t>HRK</t>
        </is>
      </c>
    </row>
    <row r="80">
      <c r="B80" t="inlineStr">
        <is>
          <t>CUC</t>
        </is>
      </c>
    </row>
    <row r="81">
      <c r="B81" t="inlineStr">
        <is>
          <t>CUP</t>
        </is>
      </c>
    </row>
    <row r="82">
      <c r="B82" t="inlineStr">
        <is>
          <t>CYP</t>
        </is>
      </c>
    </row>
    <row r="83">
      <c r="B83" t="inlineStr">
        <is>
          <t>CZK</t>
        </is>
      </c>
    </row>
    <row r="84">
      <c r="B84" t="inlineStr">
        <is>
          <t>CSK</t>
        </is>
      </c>
    </row>
    <row r="85">
      <c r="B85" t="inlineStr">
        <is>
          <t>DKK</t>
        </is>
      </c>
    </row>
    <row r="86">
      <c r="B86" t="inlineStr">
        <is>
          <t>DJF</t>
        </is>
      </c>
    </row>
    <row r="87">
      <c r="B87" t="inlineStr">
        <is>
          <t>DOP</t>
        </is>
      </c>
    </row>
    <row r="88">
      <c r="B88" t="inlineStr">
        <is>
          <t>NLG</t>
        </is>
      </c>
    </row>
    <row r="89">
      <c r="B89" t="inlineStr">
        <is>
          <t>XCD</t>
        </is>
      </c>
    </row>
    <row r="90">
      <c r="B90" t="inlineStr">
        <is>
          <t>DDM</t>
        </is>
      </c>
    </row>
    <row r="91">
      <c r="B91" t="inlineStr">
        <is>
          <t>ECS</t>
        </is>
      </c>
    </row>
    <row r="92">
      <c r="B92" t="inlineStr">
        <is>
          <t>ECV</t>
        </is>
      </c>
    </row>
    <row r="93">
      <c r="B93" t="inlineStr">
        <is>
          <t>EGP</t>
        </is>
      </c>
    </row>
    <row r="94">
      <c r="B94" t="inlineStr">
        <is>
          <t>GQE</t>
        </is>
      </c>
    </row>
    <row r="95">
      <c r="B95" t="inlineStr">
        <is>
          <t>ERN</t>
        </is>
      </c>
    </row>
    <row r="96">
      <c r="B96" t="inlineStr">
        <is>
          <t>EEK</t>
        </is>
      </c>
    </row>
    <row r="97">
      <c r="B97" t="inlineStr">
        <is>
          <t>ETB</t>
        </is>
      </c>
    </row>
    <row r="98">
      <c r="B98" t="inlineStr">
        <is>
          <t>EUR</t>
        </is>
      </c>
    </row>
    <row r="99">
      <c r="B99" t="inlineStr">
        <is>
          <t>XBA</t>
        </is>
      </c>
    </row>
    <row r="100">
      <c r="B100" t="inlineStr">
        <is>
          <t>XEU</t>
        </is>
      </c>
    </row>
    <row r="101">
      <c r="B101" t="inlineStr">
        <is>
          <t>XBB</t>
        </is>
      </c>
    </row>
    <row r="102">
      <c r="B102" t="inlineStr">
        <is>
          <t>XBC</t>
        </is>
      </c>
    </row>
    <row r="103">
      <c r="B103" t="inlineStr">
        <is>
          <t>XBD</t>
        </is>
      </c>
    </row>
    <row r="104">
      <c r="B104" t="inlineStr">
        <is>
          <t>FKP</t>
        </is>
      </c>
    </row>
    <row r="105">
      <c r="B105" t="inlineStr">
        <is>
          <t>FJD</t>
        </is>
      </c>
    </row>
    <row r="106">
      <c r="B106" t="inlineStr">
        <is>
          <t>FIM</t>
        </is>
      </c>
    </row>
    <row r="107">
      <c r="B107" t="inlineStr">
        <is>
          <t>FRF</t>
        </is>
      </c>
    </row>
    <row r="108">
      <c r="B108" t="inlineStr">
        <is>
          <t>XFO</t>
        </is>
      </c>
    </row>
    <row r="109">
      <c r="B109" t="inlineStr">
        <is>
          <t>XFU</t>
        </is>
      </c>
    </row>
    <row r="110">
      <c r="B110" t="inlineStr">
        <is>
          <t>GMD</t>
        </is>
      </c>
    </row>
    <row r="111">
      <c r="B111" t="inlineStr">
        <is>
          <t>GEK</t>
        </is>
      </c>
    </row>
    <row r="112">
      <c r="B112" t="inlineStr">
        <is>
          <t>GEL</t>
        </is>
      </c>
    </row>
    <row r="113">
      <c r="B113" t="inlineStr">
        <is>
          <t>DEM</t>
        </is>
      </c>
    </row>
    <row r="114">
      <c r="B114" t="inlineStr">
        <is>
          <t>GHS</t>
        </is>
      </c>
    </row>
    <row r="115">
      <c r="B115" t="inlineStr">
        <is>
          <t>GHC</t>
        </is>
      </c>
    </row>
    <row r="116">
      <c r="B116" t="inlineStr">
        <is>
          <t>GIP</t>
        </is>
      </c>
    </row>
    <row r="117">
      <c r="B117" t="inlineStr">
        <is>
          <t>XAU</t>
        </is>
      </c>
    </row>
    <row r="118">
      <c r="B118" t="inlineStr">
        <is>
          <t>GRD</t>
        </is>
      </c>
    </row>
    <row r="119">
      <c r="B119" t="inlineStr">
        <is>
          <t>GTQ</t>
        </is>
      </c>
    </row>
    <row r="120">
      <c r="B120" t="inlineStr">
        <is>
          <t>GWP</t>
        </is>
      </c>
    </row>
    <row r="121">
      <c r="B121" t="inlineStr">
        <is>
          <t>GNF</t>
        </is>
      </c>
    </row>
    <row r="122">
      <c r="B122" t="inlineStr">
        <is>
          <t>GNS</t>
        </is>
      </c>
    </row>
    <row r="123">
      <c r="B123" t="inlineStr">
        <is>
          <t>GYD</t>
        </is>
      </c>
    </row>
    <row r="124">
      <c r="B124" t="inlineStr">
        <is>
          <t>HTG</t>
        </is>
      </c>
    </row>
    <row r="125">
      <c r="B125" t="inlineStr">
        <is>
          <t>HNL</t>
        </is>
      </c>
    </row>
    <row r="126">
      <c r="B126" t="inlineStr">
        <is>
          <t>HKD</t>
        </is>
      </c>
    </row>
    <row r="127">
      <c r="B127" t="inlineStr">
        <is>
          <t>HUF</t>
        </is>
      </c>
    </row>
    <row r="128">
      <c r="B128" t="inlineStr">
        <is>
          <t>IMP</t>
        </is>
      </c>
    </row>
    <row r="129">
      <c r="B129" t="inlineStr">
        <is>
          <t>ISK</t>
        </is>
      </c>
    </row>
    <row r="130">
      <c r="B130" t="inlineStr">
        <is>
          <t>ISJ</t>
        </is>
      </c>
    </row>
    <row r="131">
      <c r="B131" t="inlineStr">
        <is>
          <t>INR</t>
        </is>
      </c>
    </row>
    <row r="132">
      <c r="B132" t="inlineStr">
        <is>
          <t>IDR</t>
        </is>
      </c>
    </row>
    <row r="133">
      <c r="B133" t="inlineStr">
        <is>
          <t>IRR</t>
        </is>
      </c>
    </row>
    <row r="134">
      <c r="B134" t="inlineStr">
        <is>
          <t>IQD</t>
        </is>
      </c>
    </row>
    <row r="135">
      <c r="B135" t="inlineStr">
        <is>
          <t>IEP</t>
        </is>
      </c>
    </row>
    <row r="136">
      <c r="B136" t="inlineStr">
        <is>
          <t>ILS</t>
        </is>
      </c>
    </row>
    <row r="137">
      <c r="B137" t="inlineStr">
        <is>
          <t>ILP</t>
        </is>
      </c>
    </row>
    <row r="138">
      <c r="B138" t="inlineStr">
        <is>
          <t>ILR</t>
        </is>
      </c>
    </row>
    <row r="139">
      <c r="B139" t="inlineStr">
        <is>
          <t>ITL</t>
        </is>
      </c>
    </row>
    <row r="140">
      <c r="B140" t="inlineStr">
        <is>
          <t>JMD</t>
        </is>
      </c>
    </row>
    <row r="141">
      <c r="B141" t="inlineStr">
        <is>
          <t>JPY</t>
        </is>
      </c>
    </row>
    <row r="142">
      <c r="B142" t="inlineStr">
        <is>
          <t>JOD</t>
        </is>
      </c>
    </row>
    <row r="143">
      <c r="B143" t="inlineStr">
        <is>
          <t>KZT</t>
        </is>
      </c>
    </row>
    <row r="144">
      <c r="B144" t="inlineStr">
        <is>
          <t>KES</t>
        </is>
      </c>
    </row>
    <row r="145">
      <c r="B145" t="inlineStr">
        <is>
          <t>KWD</t>
        </is>
      </c>
    </row>
    <row r="146">
      <c r="B146" t="inlineStr">
        <is>
          <t>KGS</t>
        </is>
      </c>
    </row>
    <row r="147">
      <c r="B147" t="inlineStr">
        <is>
          <t>LAK</t>
        </is>
      </c>
    </row>
    <row r="148">
      <c r="B148" t="inlineStr">
        <is>
          <t>LVL</t>
        </is>
      </c>
    </row>
    <row r="149">
      <c r="B149" t="inlineStr">
        <is>
          <t>LVR</t>
        </is>
      </c>
    </row>
    <row r="150">
      <c r="B150" t="inlineStr">
        <is>
          <t>LBP</t>
        </is>
      </c>
    </row>
    <row r="151">
      <c r="B151" t="inlineStr">
        <is>
          <t>LSL</t>
        </is>
      </c>
    </row>
    <row r="152">
      <c r="B152" t="inlineStr">
        <is>
          <t>LRD</t>
        </is>
      </c>
    </row>
    <row r="153">
      <c r="B153" t="inlineStr">
        <is>
          <t>LYD</t>
        </is>
      </c>
    </row>
    <row r="154">
      <c r="B154" t="inlineStr">
        <is>
          <t>LTL</t>
        </is>
      </c>
    </row>
    <row r="155">
      <c r="B155" t="inlineStr">
        <is>
          <t>LTT</t>
        </is>
      </c>
    </row>
    <row r="156">
      <c r="B156" t="inlineStr">
        <is>
          <t>LUL</t>
        </is>
      </c>
    </row>
    <row r="157">
      <c r="B157" t="inlineStr">
        <is>
          <t>LUC</t>
        </is>
      </c>
    </row>
    <row r="158">
      <c r="B158" t="inlineStr">
        <is>
          <t>LUF</t>
        </is>
      </c>
    </row>
    <row r="159">
      <c r="B159" t="inlineStr">
        <is>
          <t>MOP</t>
        </is>
      </c>
    </row>
    <row r="160">
      <c r="B160" t="inlineStr">
        <is>
          <t>MKD</t>
        </is>
      </c>
    </row>
    <row r="161">
      <c r="B161" t="inlineStr">
        <is>
          <t>MKN</t>
        </is>
      </c>
    </row>
    <row r="162">
      <c r="B162" t="inlineStr">
        <is>
          <t>MGA</t>
        </is>
      </c>
    </row>
    <row r="163">
      <c r="B163" t="inlineStr">
        <is>
          <t>MGF</t>
        </is>
      </c>
    </row>
    <row r="164">
      <c r="B164" t="inlineStr">
        <is>
          <t>MWK</t>
        </is>
      </c>
    </row>
    <row r="165">
      <c r="B165" t="inlineStr">
        <is>
          <t>MYR</t>
        </is>
      </c>
    </row>
    <row r="166">
      <c r="B166" t="inlineStr">
        <is>
          <t>MVR</t>
        </is>
      </c>
    </row>
    <row r="167">
      <c r="B167" t="inlineStr">
        <is>
          <t>MVP</t>
        </is>
      </c>
    </row>
    <row r="168">
      <c r="B168" t="inlineStr">
        <is>
          <t>MLF</t>
        </is>
      </c>
    </row>
    <row r="169">
      <c r="B169" t="inlineStr">
        <is>
          <t>MTL</t>
        </is>
      </c>
    </row>
    <row r="170">
      <c r="B170" t="inlineStr">
        <is>
          <t>MTP</t>
        </is>
      </c>
    </row>
    <row r="171">
      <c r="B171" t="inlineStr">
        <is>
          <t>MRU</t>
        </is>
      </c>
    </row>
    <row r="172">
      <c r="B172" t="inlineStr">
        <is>
          <t>MRO</t>
        </is>
      </c>
    </row>
    <row r="173">
      <c r="B173" t="inlineStr">
        <is>
          <t>MUR</t>
        </is>
      </c>
    </row>
    <row r="174">
      <c r="B174" t="inlineStr">
        <is>
          <t>MXV</t>
        </is>
      </c>
    </row>
    <row r="175">
      <c r="B175" t="inlineStr">
        <is>
          <t>MXN</t>
        </is>
      </c>
    </row>
    <row r="176">
      <c r="B176" t="inlineStr">
        <is>
          <t>MXP</t>
        </is>
      </c>
    </row>
    <row r="177">
      <c r="B177" t="inlineStr">
        <is>
          <t>MDC</t>
        </is>
      </c>
    </row>
    <row r="178">
      <c r="B178" t="inlineStr">
        <is>
          <t>MDL</t>
        </is>
      </c>
    </row>
    <row r="179">
      <c r="B179" t="inlineStr">
        <is>
          <t>MCF</t>
        </is>
      </c>
    </row>
    <row r="180">
      <c r="B180" t="inlineStr">
        <is>
          <t>MNT</t>
        </is>
      </c>
    </row>
    <row r="181">
      <c r="B181" t="inlineStr">
        <is>
          <t>MAD</t>
        </is>
      </c>
    </row>
    <row r="182">
      <c r="B182" t="inlineStr">
        <is>
          <t>MAF</t>
        </is>
      </c>
    </row>
    <row r="183">
      <c r="B183" t="inlineStr">
        <is>
          <t>MZE</t>
        </is>
      </c>
    </row>
    <row r="184">
      <c r="B184" t="inlineStr">
        <is>
          <t>MZN</t>
        </is>
      </c>
    </row>
    <row r="185">
      <c r="B185" t="inlineStr">
        <is>
          <t>MZM</t>
        </is>
      </c>
    </row>
    <row r="186">
      <c r="B186" t="inlineStr">
        <is>
          <t>MMK</t>
        </is>
      </c>
    </row>
    <row r="187">
      <c r="B187" t="inlineStr">
        <is>
          <t>NAD</t>
        </is>
      </c>
    </row>
    <row r="188">
      <c r="B188" t="inlineStr">
        <is>
          <t>NPR</t>
        </is>
      </c>
    </row>
    <row r="189">
      <c r="B189" t="inlineStr">
        <is>
          <t>ANG</t>
        </is>
      </c>
    </row>
    <row r="190">
      <c r="B190" t="inlineStr">
        <is>
          <t>TWD</t>
        </is>
      </c>
    </row>
    <row r="191">
      <c r="B191" t="inlineStr">
        <is>
          <t>NZD</t>
        </is>
      </c>
    </row>
    <row r="192">
      <c r="B192" t="inlineStr">
        <is>
          <t>NIO</t>
        </is>
      </c>
    </row>
    <row r="193">
      <c r="B193" t="inlineStr">
        <is>
          <t>NIC</t>
        </is>
      </c>
    </row>
    <row r="194">
      <c r="B194" t="inlineStr">
        <is>
          <t>NGN</t>
        </is>
      </c>
    </row>
    <row r="195">
      <c r="B195" t="inlineStr">
        <is>
          <t>KPW</t>
        </is>
      </c>
    </row>
    <row r="196">
      <c r="B196" t="inlineStr">
        <is>
          <t>NOK</t>
        </is>
      </c>
    </row>
    <row r="197">
      <c r="B197" t="inlineStr">
        <is>
          <t>OMR</t>
        </is>
      </c>
    </row>
    <row r="198">
      <c r="B198" t="inlineStr">
        <is>
          <t>PKR</t>
        </is>
      </c>
    </row>
    <row r="199">
      <c r="B199" t="inlineStr">
        <is>
          <t>XPD</t>
        </is>
      </c>
    </row>
    <row r="200">
      <c r="B200" t="inlineStr">
        <is>
          <t>PAB</t>
        </is>
      </c>
    </row>
    <row r="201">
      <c r="B201" t="inlineStr">
        <is>
          <t>PGK</t>
        </is>
      </c>
    </row>
    <row r="202">
      <c r="B202" t="inlineStr">
        <is>
          <t>PYG</t>
        </is>
      </c>
    </row>
    <row r="203">
      <c r="B203" t="inlineStr">
        <is>
          <t>PEI</t>
        </is>
      </c>
    </row>
    <row r="204">
      <c r="B204" t="inlineStr">
        <is>
          <t>PEN</t>
        </is>
      </c>
    </row>
    <row r="205">
      <c r="B205" t="inlineStr">
        <is>
          <t>PES</t>
        </is>
      </c>
    </row>
    <row r="206">
      <c r="B206" t="inlineStr">
        <is>
          <t>PHP</t>
        </is>
      </c>
    </row>
    <row r="207">
      <c r="B207" t="inlineStr">
        <is>
          <t>XPT</t>
        </is>
      </c>
    </row>
    <row r="208">
      <c r="B208" t="inlineStr">
        <is>
          <t>PLN</t>
        </is>
      </c>
    </row>
    <row r="209">
      <c r="B209" t="inlineStr">
        <is>
          <t>PLZ</t>
        </is>
      </c>
    </row>
    <row r="210">
      <c r="B210" t="inlineStr">
        <is>
          <t>PTE</t>
        </is>
      </c>
    </row>
    <row r="211">
      <c r="B211" t="inlineStr">
        <is>
          <t>GWE</t>
        </is>
      </c>
    </row>
    <row r="212">
      <c r="B212" t="inlineStr">
        <is>
          <t>QAR</t>
        </is>
      </c>
    </row>
    <row r="213">
      <c r="B213" t="inlineStr">
        <is>
          <t>XRE</t>
        </is>
      </c>
    </row>
    <row r="214">
      <c r="B214" t="inlineStr">
        <is>
          <t>RHD</t>
        </is>
      </c>
    </row>
    <row r="215">
      <c r="B215" t="inlineStr">
        <is>
          <t>RON</t>
        </is>
      </c>
    </row>
    <row r="216">
      <c r="B216" t="inlineStr">
        <is>
          <t>ROL</t>
        </is>
      </c>
    </row>
    <row r="217">
      <c r="B217" t="inlineStr">
        <is>
          <t>RUB</t>
        </is>
      </c>
    </row>
    <row r="218">
      <c r="B218" t="inlineStr">
        <is>
          <t>RUR</t>
        </is>
      </c>
    </row>
    <row r="219">
      <c r="B219" t="inlineStr">
        <is>
          <t>RWF</t>
        </is>
      </c>
    </row>
    <row r="220">
      <c r="B220" t="inlineStr">
        <is>
          <t>SVC</t>
        </is>
      </c>
    </row>
    <row r="221">
      <c r="B221" t="inlineStr">
        <is>
          <t>WST</t>
        </is>
      </c>
    </row>
    <row r="222">
      <c r="B222" t="inlineStr">
        <is>
          <t>SAR</t>
        </is>
      </c>
    </row>
    <row r="223">
      <c r="B223" t="inlineStr">
        <is>
          <t>RSD</t>
        </is>
      </c>
    </row>
    <row r="224">
      <c r="B224" t="inlineStr">
        <is>
          <t>CSD</t>
        </is>
      </c>
    </row>
    <row r="225">
      <c r="B225" t="inlineStr">
        <is>
          <t>SCR</t>
        </is>
      </c>
    </row>
    <row r="226">
      <c r="B226" t="inlineStr">
        <is>
          <t>SLE</t>
        </is>
      </c>
    </row>
    <row r="227">
      <c r="B227" t="inlineStr">
        <is>
          <t>SLL</t>
        </is>
      </c>
    </row>
    <row r="228">
      <c r="B228" t="inlineStr">
        <is>
          <t>XAG</t>
        </is>
      </c>
    </row>
    <row r="229">
      <c r="B229" t="inlineStr">
        <is>
          <t>SGD</t>
        </is>
      </c>
    </row>
    <row r="230">
      <c r="B230" t="inlineStr">
        <is>
          <t>SKK</t>
        </is>
      </c>
    </row>
    <row r="231">
      <c r="B231" t="inlineStr">
        <is>
          <t>SIT</t>
        </is>
      </c>
    </row>
    <row r="232">
      <c r="B232" t="inlineStr">
        <is>
          <t>SBD</t>
        </is>
      </c>
    </row>
    <row r="233">
      <c r="B233" t="inlineStr">
        <is>
          <t>SOS</t>
        </is>
      </c>
    </row>
    <row r="234">
      <c r="B234" t="inlineStr">
        <is>
          <t>ZAR</t>
        </is>
      </c>
    </row>
    <row r="235">
      <c r="B235" t="inlineStr">
        <is>
          <t>ZAL</t>
        </is>
      </c>
    </row>
    <row r="236">
      <c r="B236" t="inlineStr">
        <is>
          <t>KRH</t>
        </is>
      </c>
    </row>
    <row r="237">
      <c r="B237" t="inlineStr">
        <is>
          <t>KRW</t>
        </is>
      </c>
    </row>
    <row r="238">
      <c r="B238" t="inlineStr">
        <is>
          <t>KRO</t>
        </is>
      </c>
    </row>
    <row r="239">
      <c r="B239" t="inlineStr">
        <is>
          <t>SSP</t>
        </is>
      </c>
    </row>
    <row r="240">
      <c r="B240" t="inlineStr">
        <is>
          <t>SUR</t>
        </is>
      </c>
    </row>
    <row r="241">
      <c r="B241" t="inlineStr">
        <is>
          <t>ESP</t>
        </is>
      </c>
    </row>
    <row r="242">
      <c r="B242" t="inlineStr">
        <is>
          <t>ESA</t>
        </is>
      </c>
    </row>
    <row r="243">
      <c r="B243" t="inlineStr">
        <is>
          <t>ESB</t>
        </is>
      </c>
    </row>
    <row r="244">
      <c r="B244" t="inlineStr">
        <is>
          <t>XDR</t>
        </is>
      </c>
    </row>
    <row r="245">
      <c r="B245" t="inlineStr">
        <is>
          <t>LKR</t>
        </is>
      </c>
    </row>
    <row r="246">
      <c r="B246" t="inlineStr">
        <is>
          <t>SHP</t>
        </is>
      </c>
    </row>
    <row r="247">
      <c r="B247" t="inlineStr">
        <is>
          <t>XSU</t>
        </is>
      </c>
    </row>
    <row r="248">
      <c r="B248" t="inlineStr">
        <is>
          <t>SDD</t>
        </is>
      </c>
    </row>
    <row r="249">
      <c r="B249" t="inlineStr">
        <is>
          <t>SDG</t>
        </is>
      </c>
    </row>
    <row r="250">
      <c r="B250" t="inlineStr">
        <is>
          <t>SDP</t>
        </is>
      </c>
    </row>
    <row r="251">
      <c r="B251" t="inlineStr">
        <is>
          <t>SRD</t>
        </is>
      </c>
    </row>
    <row r="252">
      <c r="B252" t="inlineStr">
        <is>
          <t>SRG</t>
        </is>
      </c>
    </row>
    <row r="253">
      <c r="B253" t="inlineStr">
        <is>
          <t>SZL</t>
        </is>
      </c>
    </row>
    <row r="254">
      <c r="B254" t="inlineStr">
        <is>
          <t>SEK</t>
        </is>
      </c>
    </row>
    <row r="255">
      <c r="B255" t="inlineStr">
        <is>
          <t>CHF</t>
        </is>
      </c>
    </row>
    <row r="256">
      <c r="B256" t="inlineStr">
        <is>
          <t>SYP</t>
        </is>
      </c>
    </row>
    <row r="257">
      <c r="B257" t="inlineStr">
        <is>
          <t>STN</t>
        </is>
      </c>
    </row>
    <row r="258">
      <c r="B258" t="inlineStr">
        <is>
          <t>STD</t>
        </is>
      </c>
    </row>
    <row r="259">
      <c r="B259" t="inlineStr">
        <is>
          <t>TVD</t>
        </is>
      </c>
    </row>
    <row r="260">
      <c r="B260" t="inlineStr">
        <is>
          <t>TJR</t>
        </is>
      </c>
    </row>
    <row r="261">
      <c r="B261" t="inlineStr">
        <is>
          <t>TJS</t>
        </is>
      </c>
    </row>
    <row r="262">
      <c r="B262" t="inlineStr">
        <is>
          <t>TZS</t>
        </is>
      </c>
    </row>
    <row r="263">
      <c r="B263" t="inlineStr">
        <is>
          <t>XTS</t>
        </is>
      </c>
    </row>
    <row r="264">
      <c r="B264" t="inlineStr">
        <is>
          <t>THB</t>
        </is>
      </c>
    </row>
    <row r="265">
      <c r="B265" t="inlineStr">
        <is>
          <t>TPE</t>
        </is>
      </c>
    </row>
    <row r="266">
      <c r="B266" t="inlineStr">
        <is>
          <t>TOP</t>
        </is>
      </c>
    </row>
    <row r="267">
      <c r="B267" t="inlineStr">
        <is>
          <t>TTD</t>
        </is>
      </c>
    </row>
    <row r="268">
      <c r="B268" t="inlineStr">
        <is>
          <t>TND</t>
        </is>
      </c>
    </row>
    <row r="269">
      <c r="B269" t="inlineStr">
        <is>
          <t>TRY</t>
        </is>
      </c>
    </row>
    <row r="270">
      <c r="B270" t="inlineStr">
        <is>
          <t>TRL</t>
        </is>
      </c>
    </row>
    <row r="271">
      <c r="B271" t="inlineStr">
        <is>
          <t>TMT</t>
        </is>
      </c>
    </row>
    <row r="272">
      <c r="B272" t="inlineStr">
        <is>
          <t>TMM</t>
        </is>
      </c>
    </row>
    <row r="273">
      <c r="B273" t="inlineStr">
        <is>
          <t>USD</t>
        </is>
      </c>
    </row>
    <row r="274">
      <c r="B274" t="inlineStr">
        <is>
          <t>USN</t>
        </is>
      </c>
    </row>
    <row r="275">
      <c r="B275" t="inlineStr">
        <is>
          <t>USS</t>
        </is>
      </c>
    </row>
    <row r="276">
      <c r="B276" t="inlineStr">
        <is>
          <t>UGX</t>
        </is>
      </c>
    </row>
    <row r="277">
      <c r="B277" t="inlineStr">
        <is>
          <t>UGS</t>
        </is>
      </c>
    </row>
    <row r="278">
      <c r="B278" t="inlineStr">
        <is>
          <t>UAH</t>
        </is>
      </c>
    </row>
    <row r="279">
      <c r="B279" t="inlineStr">
        <is>
          <t>UAK</t>
        </is>
      </c>
    </row>
    <row r="280">
      <c r="B280" t="inlineStr">
        <is>
          <t>AED</t>
        </is>
      </c>
    </row>
    <row r="281">
      <c r="B281" t="inlineStr">
        <is>
          <t>UYW</t>
        </is>
      </c>
    </row>
    <row r="282">
      <c r="B282" t="inlineStr">
        <is>
          <t>UYU</t>
        </is>
      </c>
    </row>
    <row r="283">
      <c r="B283" t="inlineStr">
        <is>
          <t>UYP</t>
        </is>
      </c>
    </row>
    <row r="284">
      <c r="B284" t="inlineStr">
        <is>
          <t>UYI</t>
        </is>
      </c>
    </row>
    <row r="285">
      <c r="B285" t="inlineStr">
        <is>
          <t>UZS</t>
        </is>
      </c>
    </row>
    <row r="286">
      <c r="B286" t="inlineStr">
        <is>
          <t>VUV</t>
        </is>
      </c>
    </row>
    <row r="287">
      <c r="B287" t="inlineStr">
        <is>
          <t>VES</t>
        </is>
      </c>
    </row>
    <row r="288">
      <c r="B288" t="inlineStr">
        <is>
          <t>VEB</t>
        </is>
      </c>
    </row>
    <row r="289">
      <c r="B289" t="inlineStr">
        <is>
          <t>VEF</t>
        </is>
      </c>
    </row>
    <row r="290">
      <c r="B290" t="inlineStr">
        <is>
          <t>VND</t>
        </is>
      </c>
    </row>
    <row r="291">
      <c r="B291" t="inlineStr">
        <is>
          <t>VNN</t>
        </is>
      </c>
    </row>
    <row r="292">
      <c r="B292" t="inlineStr">
        <is>
          <t>CHE</t>
        </is>
      </c>
    </row>
    <row r="293">
      <c r="B293" t="inlineStr">
        <is>
          <t>CHW</t>
        </is>
      </c>
    </row>
    <row r="294">
      <c r="B294" t="inlineStr">
        <is>
          <t>XOF</t>
        </is>
      </c>
    </row>
    <row r="295">
      <c r="B295" t="inlineStr">
        <is>
          <t>YDD</t>
        </is>
      </c>
    </row>
    <row r="296">
      <c r="B296" t="inlineStr">
        <is>
          <t>YER</t>
        </is>
      </c>
    </row>
    <row r="297">
      <c r="B297" t="inlineStr">
        <is>
          <t>YUN</t>
        </is>
      </c>
    </row>
    <row r="298">
      <c r="B298" t="inlineStr">
        <is>
          <t>YUD</t>
        </is>
      </c>
    </row>
    <row r="299">
      <c r="B299" t="inlineStr">
        <is>
          <t>YUM</t>
        </is>
      </c>
    </row>
    <row r="300">
      <c r="B300" t="inlineStr">
        <is>
          <t>YUR</t>
        </is>
      </c>
    </row>
    <row r="301">
      <c r="B301" t="inlineStr">
        <is>
          <t>ZWN</t>
        </is>
      </c>
    </row>
    <row r="302">
      <c r="B302" t="inlineStr">
        <is>
          <t>ZRN</t>
        </is>
      </c>
    </row>
    <row r="303">
      <c r="B303" t="inlineStr">
        <is>
          <t>ZRZ</t>
        </is>
      </c>
    </row>
    <row r="304">
      <c r="B304" t="inlineStr">
        <is>
          <t>ZMW</t>
        </is>
      </c>
    </row>
    <row r="305">
      <c r="B305" t="inlineStr">
        <is>
          <t>ZMK</t>
        </is>
      </c>
    </row>
    <row r="306">
      <c r="B306" t="inlineStr">
        <is>
          <t>ZWD</t>
        </is>
      </c>
    </row>
    <row r="307">
      <c r="B307" t="inlineStr">
        <is>
          <t>ZWR</t>
        </is>
      </c>
    </row>
    <row r="308">
      <c r="B308" t="inlineStr">
        <is>
          <t>ZWL</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I2353"/>
  <sheetViews>
    <sheetView workbookViewId="0">
      <pane ySplit="1" topLeftCell="A2" activePane="bottomLeft" state="frozen"/>
      <selection pane="bottomLeft" activeCell="A1" sqref="A1"/>
    </sheetView>
  </sheetViews>
  <sheetFormatPr baseColWidth="8" defaultRowHeight="15"/>
  <cols>
    <col width="11.2" customWidth="1" min="1" max="1"/>
    <col width="8.199999999999999" customWidth="1" min="2" max="2"/>
    <col width="62.2" customWidth="1" min="3" max="3"/>
    <col width="10.2" customWidth="1" min="4" max="4"/>
    <col width="14.2" customWidth="1" min="5" max="5"/>
    <col width="12.2" customWidth="1" min="6" max="6"/>
    <col width="29.2" customWidth="1" min="7" max="7"/>
    <col width="41.2" customWidth="1" min="8" max="8"/>
    <col width="65.2" customWidth="1" min="9" max="9"/>
  </cols>
  <sheetData>
    <row r="1" ht="32" customHeight="1">
      <c r="A1" s="1" t="inlineStr">
        <is>
          <t>legacy_id</t>
        </is>
      </c>
      <c r="B1" s="1" t="inlineStr">
        <is>
          <t>name</t>
        </is>
      </c>
      <c r="C1" s="1" t="inlineStr">
        <is>
          <t>description</t>
        </is>
      </c>
      <c r="D1" s="1" t="inlineStr">
        <is>
          <t>currency</t>
        </is>
      </c>
      <c r="E1" s="1" t="inlineStr">
        <is>
          <t>market__code</t>
        </is>
      </c>
      <c r="F1" s="1" t="inlineStr">
        <is>
          <t>legal_form</t>
        </is>
      </c>
      <c r="G1" s="1" t="inlineStr">
        <is>
          <t>cgt_asset_category_override</t>
        </is>
      </c>
      <c r="H1" s="1" t="inlineStr">
        <is>
          <t>is_taxable_australian_property_override</t>
        </is>
      </c>
      <c r="I1" s="1" t="inlineStr">
        <is>
          <t>notes</t>
        </is>
      </c>
    </row>
    <row r="2">
      <c r="B2" t="inlineStr">
        <is>
          <t>CBA</t>
        </is>
      </c>
      <c r="C2" t="inlineStr">
        <is>
          <t>Commonwealth Bank of Australia</t>
        </is>
      </c>
      <c r="D2" t="inlineStr">
        <is>
          <t>AUD</t>
        </is>
      </c>
      <c r="E2" t="inlineStr">
        <is>
          <t>ASX</t>
        </is>
      </c>
      <c r="I2" t="inlineStr">
        <is>
          <t>You might prefer to only load the instruments you intend to use</t>
        </is>
      </c>
    </row>
    <row r="3">
      <c r="B3" t="inlineStr">
        <is>
          <t>BHP</t>
        </is>
      </c>
      <c r="C3" t="inlineStr">
        <is>
          <t>BHP Group Ltd</t>
        </is>
      </c>
      <c r="D3" t="inlineStr">
        <is>
          <t>AUD</t>
        </is>
      </c>
      <c r="E3" t="inlineStr">
        <is>
          <t>ASX</t>
        </is>
      </c>
    </row>
    <row r="4">
      <c r="B4" t="inlineStr">
        <is>
          <t>CSL</t>
        </is>
      </c>
      <c r="C4" t="inlineStr">
        <is>
          <t>CSL Ltd</t>
        </is>
      </c>
      <c r="D4" t="inlineStr">
        <is>
          <t>AUD</t>
        </is>
      </c>
      <c r="E4" t="inlineStr">
        <is>
          <t>ASX</t>
        </is>
      </c>
    </row>
    <row r="5">
      <c r="B5" t="inlineStr">
        <is>
          <t>NAB</t>
        </is>
      </c>
      <c r="C5" t="inlineStr">
        <is>
          <t>National Australia Bank Ltd</t>
        </is>
      </c>
      <c r="D5" t="inlineStr">
        <is>
          <t>AUD</t>
        </is>
      </c>
      <c r="E5" t="inlineStr">
        <is>
          <t>ASX</t>
        </is>
      </c>
    </row>
    <row r="6">
      <c r="B6" t="inlineStr">
        <is>
          <t>WBC</t>
        </is>
      </c>
      <c r="C6" t="inlineStr">
        <is>
          <t>Westpac Banking Corporation</t>
        </is>
      </c>
      <c r="D6" t="inlineStr">
        <is>
          <t>AUD</t>
        </is>
      </c>
      <c r="E6" t="inlineStr">
        <is>
          <t>ASX</t>
        </is>
      </c>
    </row>
    <row r="7">
      <c r="B7" t="inlineStr">
        <is>
          <t>MQG</t>
        </is>
      </c>
      <c r="C7" t="inlineStr">
        <is>
          <t>Macquarie Group Ltd</t>
        </is>
      </c>
      <c r="D7" t="inlineStr">
        <is>
          <t>AUD</t>
        </is>
      </c>
      <c r="E7" t="inlineStr">
        <is>
          <t>ASX</t>
        </is>
      </c>
    </row>
    <row r="8">
      <c r="B8" t="inlineStr">
        <is>
          <t>ANZ</t>
        </is>
      </c>
      <c r="C8" t="inlineStr">
        <is>
          <t>ANZ Group Holdings Ltd</t>
        </is>
      </c>
      <c r="D8" t="inlineStr">
        <is>
          <t>AUD</t>
        </is>
      </c>
      <c r="E8" t="inlineStr">
        <is>
          <t>ASX</t>
        </is>
      </c>
    </row>
    <row r="9">
      <c r="B9" t="inlineStr">
        <is>
          <t>WES</t>
        </is>
      </c>
      <c r="C9" t="inlineStr">
        <is>
          <t>Wesfarmers Ltd</t>
        </is>
      </c>
      <c r="D9" t="inlineStr">
        <is>
          <t>AUD</t>
        </is>
      </c>
      <c r="E9" t="inlineStr">
        <is>
          <t>ASX</t>
        </is>
      </c>
    </row>
    <row r="10">
      <c r="B10" t="inlineStr">
        <is>
          <t>GMG</t>
        </is>
      </c>
      <c r="C10" t="inlineStr">
        <is>
          <t>Goodman Group</t>
        </is>
      </c>
      <c r="D10" t="inlineStr">
        <is>
          <t>AUD</t>
        </is>
      </c>
      <c r="E10" t="inlineStr">
        <is>
          <t>ASX</t>
        </is>
      </c>
    </row>
    <row r="11">
      <c r="B11" t="inlineStr">
        <is>
          <t>FMG</t>
        </is>
      </c>
      <c r="C11" t="inlineStr">
        <is>
          <t>Fortescue Ltd</t>
        </is>
      </c>
      <c r="D11" t="inlineStr">
        <is>
          <t>AUD</t>
        </is>
      </c>
      <c r="E11" t="inlineStr">
        <is>
          <t>ASX</t>
        </is>
      </c>
    </row>
    <row r="12">
      <c r="B12" t="inlineStr">
        <is>
          <t>WDS</t>
        </is>
      </c>
      <c r="C12" t="inlineStr">
        <is>
          <t>Woodside Energy Group Ltd</t>
        </is>
      </c>
      <c r="D12" t="inlineStr">
        <is>
          <t>AUD</t>
        </is>
      </c>
      <c r="E12" t="inlineStr">
        <is>
          <t>ASX</t>
        </is>
      </c>
    </row>
    <row r="13">
      <c r="B13" t="inlineStr">
        <is>
          <t>TLS</t>
        </is>
      </c>
      <c r="C13" t="inlineStr">
        <is>
          <t>Telstra Group Ltd</t>
        </is>
      </c>
      <c r="D13" t="inlineStr">
        <is>
          <t>AUD</t>
        </is>
      </c>
      <c r="E13" t="inlineStr">
        <is>
          <t>ASX</t>
        </is>
      </c>
    </row>
    <row r="14">
      <c r="B14" t="inlineStr">
        <is>
          <t>RIO</t>
        </is>
      </c>
      <c r="C14" t="inlineStr">
        <is>
          <t>RIO Tinto Ltd</t>
        </is>
      </c>
      <c r="D14" t="inlineStr">
        <is>
          <t>AUD</t>
        </is>
      </c>
      <c r="E14" t="inlineStr">
        <is>
          <t>ASX</t>
        </is>
      </c>
    </row>
    <row r="15">
      <c r="B15" t="inlineStr">
        <is>
          <t>ALL</t>
        </is>
      </c>
      <c r="C15" t="inlineStr">
        <is>
          <t>Aristocrat Leisure Ltd</t>
        </is>
      </c>
      <c r="D15" t="inlineStr">
        <is>
          <t>AUD</t>
        </is>
      </c>
      <c r="E15" t="inlineStr">
        <is>
          <t>ASX</t>
        </is>
      </c>
    </row>
    <row r="16">
      <c r="B16" t="inlineStr">
        <is>
          <t>TCL</t>
        </is>
      </c>
      <c r="C16" t="inlineStr">
        <is>
          <t>Transurban Group</t>
        </is>
      </c>
      <c r="D16" t="inlineStr">
        <is>
          <t>AUD</t>
        </is>
      </c>
      <c r="E16" t="inlineStr">
        <is>
          <t>ASX</t>
        </is>
      </c>
    </row>
    <row r="17">
      <c r="B17" t="inlineStr">
        <is>
          <t>WTC</t>
        </is>
      </c>
      <c r="C17" t="inlineStr">
        <is>
          <t>Wisetech Global Ltd</t>
        </is>
      </c>
      <c r="D17" t="inlineStr">
        <is>
          <t>AUD</t>
        </is>
      </c>
      <c r="E17" t="inlineStr">
        <is>
          <t>ASX</t>
        </is>
      </c>
    </row>
    <row r="18">
      <c r="B18" t="inlineStr">
        <is>
          <t>WOW</t>
        </is>
      </c>
      <c r="C18" t="inlineStr">
        <is>
          <t>Woolworths Group Ltd</t>
        </is>
      </c>
      <c r="D18" t="inlineStr">
        <is>
          <t>AUD</t>
        </is>
      </c>
      <c r="E18" t="inlineStr">
        <is>
          <t>ASX</t>
        </is>
      </c>
    </row>
    <row r="19">
      <c r="B19" t="inlineStr">
        <is>
          <t>REA</t>
        </is>
      </c>
      <c r="C19" t="inlineStr">
        <is>
          <t>REA Group Ltd</t>
        </is>
      </c>
      <c r="D19" t="inlineStr">
        <is>
          <t>AUD</t>
        </is>
      </c>
      <c r="E19" t="inlineStr">
        <is>
          <t>ASX</t>
        </is>
      </c>
    </row>
    <row r="20">
      <c r="B20" t="inlineStr">
        <is>
          <t>QBE</t>
        </is>
      </c>
      <c r="C20" t="inlineStr">
        <is>
          <t>QBE Insurance Group Ltd</t>
        </is>
      </c>
      <c r="D20" t="inlineStr">
        <is>
          <t>AUD</t>
        </is>
      </c>
      <c r="E20" t="inlineStr">
        <is>
          <t>ASX</t>
        </is>
      </c>
    </row>
    <row r="21">
      <c r="B21" t="inlineStr">
        <is>
          <t>PME</t>
        </is>
      </c>
      <c r="C21" t="inlineStr">
        <is>
          <t>Pro Medicus Ltd</t>
        </is>
      </c>
      <c r="D21" t="inlineStr">
        <is>
          <t>AUD</t>
        </is>
      </c>
      <c r="E21" t="inlineStr">
        <is>
          <t>ASX</t>
        </is>
      </c>
    </row>
    <row r="22">
      <c r="B22" t="inlineStr">
        <is>
          <t>BXB</t>
        </is>
      </c>
      <c r="C22" t="inlineStr">
        <is>
          <t>Brambles Ltd</t>
        </is>
      </c>
      <c r="D22" t="inlineStr">
        <is>
          <t>AUD</t>
        </is>
      </c>
      <c r="E22" t="inlineStr">
        <is>
          <t>ASX</t>
        </is>
      </c>
    </row>
    <row r="23">
      <c r="B23" t="inlineStr">
        <is>
          <t>XRO</t>
        </is>
      </c>
      <c r="C23" t="inlineStr">
        <is>
          <t>Xero Ltd</t>
        </is>
      </c>
      <c r="D23" t="inlineStr">
        <is>
          <t>AUD</t>
        </is>
      </c>
      <c r="E23" t="inlineStr">
        <is>
          <t>ASX</t>
        </is>
      </c>
    </row>
    <row r="24">
      <c r="B24" t="inlineStr">
        <is>
          <t>COL</t>
        </is>
      </c>
      <c r="C24" t="inlineStr">
        <is>
          <t>Coles Group Ltd</t>
        </is>
      </c>
      <c r="D24" t="inlineStr">
        <is>
          <t>AUD</t>
        </is>
      </c>
      <c r="E24" t="inlineStr">
        <is>
          <t>ASX</t>
        </is>
      </c>
    </row>
    <row r="25">
      <c r="B25" t="inlineStr">
        <is>
          <t>SUN</t>
        </is>
      </c>
      <c r="C25" t="inlineStr">
        <is>
          <t>Suncorp Group Ltd</t>
        </is>
      </c>
      <c r="D25" t="inlineStr">
        <is>
          <t>AUD</t>
        </is>
      </c>
      <c r="E25" t="inlineStr">
        <is>
          <t>ASX</t>
        </is>
      </c>
    </row>
    <row r="26">
      <c r="B26" t="inlineStr">
        <is>
          <t>RMD</t>
        </is>
      </c>
      <c r="C26" t="inlineStr">
        <is>
          <t>Resmed Inc</t>
        </is>
      </c>
      <c r="D26" t="inlineStr">
        <is>
          <t>AUD</t>
        </is>
      </c>
      <c r="E26" t="inlineStr">
        <is>
          <t>ASX</t>
        </is>
      </c>
    </row>
    <row r="27">
      <c r="B27" t="inlineStr">
        <is>
          <t>STO</t>
        </is>
      </c>
      <c r="C27" t="inlineStr">
        <is>
          <t>Santos Ltd</t>
        </is>
      </c>
      <c r="D27" t="inlineStr">
        <is>
          <t>AUD</t>
        </is>
      </c>
      <c r="E27" t="inlineStr">
        <is>
          <t>ASX</t>
        </is>
      </c>
    </row>
    <row r="28">
      <c r="B28" t="inlineStr">
        <is>
          <t>JHX</t>
        </is>
      </c>
      <c r="C28" t="inlineStr">
        <is>
          <t>James Hardie Industries Plc</t>
        </is>
      </c>
      <c r="D28" t="inlineStr">
        <is>
          <t>AUD</t>
        </is>
      </c>
      <c r="E28" t="inlineStr">
        <is>
          <t>ASX</t>
        </is>
      </c>
    </row>
    <row r="29">
      <c r="B29" t="inlineStr">
        <is>
          <t>IAG</t>
        </is>
      </c>
      <c r="C29" t="inlineStr">
        <is>
          <t>Insurance Australia Group Ltd</t>
        </is>
      </c>
      <c r="D29" t="inlineStr">
        <is>
          <t>AUD</t>
        </is>
      </c>
      <c r="E29" t="inlineStr">
        <is>
          <t>ASX</t>
        </is>
      </c>
    </row>
    <row r="30">
      <c r="B30" t="inlineStr">
        <is>
          <t>COH</t>
        </is>
      </c>
      <c r="C30" t="inlineStr">
        <is>
          <t>Cochlear Ltd</t>
        </is>
      </c>
      <c r="D30" t="inlineStr">
        <is>
          <t>AUD</t>
        </is>
      </c>
      <c r="E30" t="inlineStr">
        <is>
          <t>ASX</t>
        </is>
      </c>
    </row>
    <row r="31">
      <c r="B31" t="inlineStr">
        <is>
          <t>FPH</t>
        </is>
      </c>
      <c r="C31" t="inlineStr">
        <is>
          <t>Fisher &amp; Paykel Healthcare Corporation Ltd</t>
        </is>
      </c>
      <c r="D31" t="inlineStr">
        <is>
          <t>AUD</t>
        </is>
      </c>
      <c r="E31" t="inlineStr">
        <is>
          <t>ASX</t>
        </is>
      </c>
    </row>
    <row r="32">
      <c r="B32" t="inlineStr">
        <is>
          <t>CPU</t>
        </is>
      </c>
      <c r="C32" t="inlineStr">
        <is>
          <t>Computershare Ltd</t>
        </is>
      </c>
      <c r="D32" t="inlineStr">
        <is>
          <t>AUD</t>
        </is>
      </c>
      <c r="E32" t="inlineStr">
        <is>
          <t>ASX</t>
        </is>
      </c>
    </row>
    <row r="33">
      <c r="B33" t="inlineStr">
        <is>
          <t>NST</t>
        </is>
      </c>
      <c r="C33" t="inlineStr">
        <is>
          <t>Northern Star Resources Ltd</t>
        </is>
      </c>
      <c r="D33" t="inlineStr">
        <is>
          <t>AUD</t>
        </is>
      </c>
      <c r="E33" t="inlineStr">
        <is>
          <t>ASX</t>
        </is>
      </c>
    </row>
    <row r="34">
      <c r="B34" t="inlineStr">
        <is>
          <t>ORG</t>
        </is>
      </c>
      <c r="C34" t="inlineStr">
        <is>
          <t>Origin Energy Ltd</t>
        </is>
      </c>
      <c r="D34" t="inlineStr">
        <is>
          <t>AUD</t>
        </is>
      </c>
      <c r="E34" t="inlineStr">
        <is>
          <t>ASX</t>
        </is>
      </c>
    </row>
    <row r="35">
      <c r="B35" t="inlineStr">
        <is>
          <t>SGH</t>
        </is>
      </c>
      <c r="C35" t="inlineStr">
        <is>
          <t>SGH Ltd</t>
        </is>
      </c>
      <c r="D35" t="inlineStr">
        <is>
          <t>AUD</t>
        </is>
      </c>
      <c r="E35" t="inlineStr">
        <is>
          <t>ASX</t>
        </is>
      </c>
    </row>
    <row r="36">
      <c r="B36" t="inlineStr">
        <is>
          <t>SCG</t>
        </is>
      </c>
      <c r="C36" t="inlineStr">
        <is>
          <t>Scentre Group</t>
        </is>
      </c>
      <c r="D36" t="inlineStr">
        <is>
          <t>AUD</t>
        </is>
      </c>
      <c r="E36" t="inlineStr">
        <is>
          <t>ASX</t>
        </is>
      </c>
    </row>
    <row r="37">
      <c r="B37" t="inlineStr">
        <is>
          <t>VAS</t>
        </is>
      </c>
      <c r="C37" t="inlineStr">
        <is>
          <t>Vanguard Australian Shares INDEX ETF</t>
        </is>
      </c>
      <c r="D37" t="inlineStr">
        <is>
          <t>AUD</t>
        </is>
      </c>
      <c r="E37" t="inlineStr">
        <is>
          <t>ASX</t>
        </is>
      </c>
    </row>
    <row r="38">
      <c r="B38" t="inlineStr">
        <is>
          <t>S32</t>
        </is>
      </c>
      <c r="C38" t="inlineStr">
        <is>
          <t>SOUTH32 Ltd</t>
        </is>
      </c>
      <c r="D38" t="inlineStr">
        <is>
          <t>AUD</t>
        </is>
      </c>
      <c r="E38" t="inlineStr">
        <is>
          <t>ASX</t>
        </is>
      </c>
    </row>
    <row r="39">
      <c r="B39" t="inlineStr">
        <is>
          <t>REH</t>
        </is>
      </c>
      <c r="C39" t="inlineStr">
        <is>
          <t>Reece Ltd</t>
        </is>
      </c>
      <c r="D39" t="inlineStr">
        <is>
          <t>AUD</t>
        </is>
      </c>
      <c r="E39" t="inlineStr">
        <is>
          <t>ASX</t>
        </is>
      </c>
    </row>
    <row r="40">
      <c r="B40" t="inlineStr">
        <is>
          <t>CAR</t>
        </is>
      </c>
      <c r="C40" t="inlineStr">
        <is>
          <t>CAR Group Ltd</t>
        </is>
      </c>
      <c r="D40" t="inlineStr">
        <is>
          <t>AUD</t>
        </is>
      </c>
      <c r="E40" t="inlineStr">
        <is>
          <t>ASX</t>
        </is>
      </c>
    </row>
    <row r="41">
      <c r="B41" t="inlineStr">
        <is>
          <t>QAN</t>
        </is>
      </c>
      <c r="C41" t="inlineStr">
        <is>
          <t>Qantas Airways Ltd</t>
        </is>
      </c>
      <c r="D41" t="inlineStr">
        <is>
          <t>AUD</t>
        </is>
      </c>
      <c r="E41" t="inlineStr">
        <is>
          <t>ASX</t>
        </is>
      </c>
    </row>
    <row r="42">
      <c r="B42" t="inlineStr">
        <is>
          <t>PMGOLD</t>
        </is>
      </c>
      <c r="C42" t="inlineStr">
        <is>
          <t>Gold Corporation</t>
        </is>
      </c>
      <c r="D42" t="inlineStr">
        <is>
          <t>AUD</t>
        </is>
      </c>
      <c r="E42" t="inlineStr">
        <is>
          <t>ASX</t>
        </is>
      </c>
    </row>
    <row r="43">
      <c r="B43" t="inlineStr">
        <is>
          <t>SHL</t>
        </is>
      </c>
      <c r="C43" t="inlineStr">
        <is>
          <t>Sonic Healthcare Ltd</t>
        </is>
      </c>
      <c r="D43" t="inlineStr">
        <is>
          <t>AUD</t>
        </is>
      </c>
      <c r="E43" t="inlineStr">
        <is>
          <t>ASX</t>
        </is>
      </c>
    </row>
    <row r="44">
      <c r="B44" t="inlineStr">
        <is>
          <t>AIA</t>
        </is>
      </c>
      <c r="C44" t="inlineStr">
        <is>
          <t>Auckland International Airport Ltd</t>
        </is>
      </c>
      <c r="D44" t="inlineStr">
        <is>
          <t>AUD</t>
        </is>
      </c>
      <c r="E44" t="inlineStr">
        <is>
          <t>ASX</t>
        </is>
      </c>
    </row>
    <row r="45">
      <c r="B45" t="inlineStr">
        <is>
          <t>SOL</t>
        </is>
      </c>
      <c r="C45" t="inlineStr">
        <is>
          <t>Washington H Soul Pattinson &amp; Company Ltd</t>
        </is>
      </c>
      <c r="D45" t="inlineStr">
        <is>
          <t>AUD</t>
        </is>
      </c>
      <c r="E45" t="inlineStr">
        <is>
          <t>ASX</t>
        </is>
      </c>
    </row>
    <row r="46">
      <c r="B46" t="inlineStr">
        <is>
          <t>ASX</t>
        </is>
      </c>
      <c r="C46" t="inlineStr">
        <is>
          <t>ASX Ltd</t>
        </is>
      </c>
      <c r="D46" t="inlineStr">
        <is>
          <t>AUD</t>
        </is>
      </c>
      <c r="E46" t="inlineStr">
        <is>
          <t>ASX</t>
        </is>
      </c>
    </row>
    <row r="47">
      <c r="B47" t="inlineStr">
        <is>
          <t>SGP</t>
        </is>
      </c>
      <c r="C47" t="inlineStr">
        <is>
          <t>Stockland</t>
        </is>
      </c>
      <c r="D47" t="inlineStr">
        <is>
          <t>AUD</t>
        </is>
      </c>
      <c r="E47" t="inlineStr">
        <is>
          <t>ASX</t>
        </is>
      </c>
    </row>
    <row r="48">
      <c r="B48" t="inlineStr">
        <is>
          <t>IVV</t>
        </is>
      </c>
      <c r="C48" t="inlineStr">
        <is>
          <t>Ishares S&amp;P 500 ETF</t>
        </is>
      </c>
      <c r="D48" t="inlineStr">
        <is>
          <t>AUD</t>
        </is>
      </c>
      <c r="E48" t="inlineStr">
        <is>
          <t>ASX</t>
        </is>
      </c>
    </row>
    <row r="49">
      <c r="B49" t="inlineStr">
        <is>
          <t>EVN</t>
        </is>
      </c>
      <c r="C49" t="inlineStr">
        <is>
          <t>Evolution Mining Ltd</t>
        </is>
      </c>
      <c r="D49" t="inlineStr">
        <is>
          <t>AUD</t>
        </is>
      </c>
      <c r="E49" t="inlineStr">
        <is>
          <t>ASX</t>
        </is>
      </c>
    </row>
    <row r="50">
      <c r="B50" t="inlineStr">
        <is>
          <t>TLC</t>
        </is>
      </c>
      <c r="C50" t="inlineStr">
        <is>
          <t>The Lottery Corporation Ltd</t>
        </is>
      </c>
      <c r="D50" t="inlineStr">
        <is>
          <t>AUD</t>
        </is>
      </c>
      <c r="E50" t="inlineStr">
        <is>
          <t>ASX</t>
        </is>
      </c>
    </row>
    <row r="51">
      <c r="B51" t="inlineStr">
        <is>
          <t>JBH</t>
        </is>
      </c>
      <c r="C51" t="inlineStr">
        <is>
          <t>JB Hi-Fi Ltd</t>
        </is>
      </c>
      <c r="D51" t="inlineStr">
        <is>
          <t>AUD</t>
        </is>
      </c>
      <c r="E51" t="inlineStr">
        <is>
          <t>ASX</t>
        </is>
      </c>
    </row>
    <row r="52">
      <c r="B52" t="inlineStr">
        <is>
          <t>VGS</t>
        </is>
      </c>
      <c r="C52" t="inlineStr">
        <is>
          <t>Vanguard MSCI INDEX International Shares ETF</t>
        </is>
      </c>
      <c r="D52" t="inlineStr">
        <is>
          <t>AUD</t>
        </is>
      </c>
      <c r="E52" t="inlineStr">
        <is>
          <t>ASX</t>
        </is>
      </c>
    </row>
    <row r="53">
      <c r="B53" t="inlineStr">
        <is>
          <t>MPL</t>
        </is>
      </c>
      <c r="C53" t="inlineStr">
        <is>
          <t>Medibank Private Ltd</t>
        </is>
      </c>
      <c r="D53" t="inlineStr">
        <is>
          <t>AUD</t>
        </is>
      </c>
      <c r="E53" t="inlineStr">
        <is>
          <t>ASX</t>
        </is>
      </c>
    </row>
    <row r="54">
      <c r="B54" t="inlineStr">
        <is>
          <t>IFT</t>
        </is>
      </c>
      <c r="C54" t="inlineStr">
        <is>
          <t>Infratil Ltd</t>
        </is>
      </c>
      <c r="D54" t="inlineStr">
        <is>
          <t>AUD</t>
        </is>
      </c>
      <c r="E54" t="inlineStr">
        <is>
          <t>ASX</t>
        </is>
      </c>
    </row>
    <row r="55">
      <c r="B55" t="inlineStr">
        <is>
          <t>NXT</t>
        </is>
      </c>
      <c r="C55" t="inlineStr">
        <is>
          <t>NEXTDC Ltd</t>
        </is>
      </c>
      <c r="D55" t="inlineStr">
        <is>
          <t>AUD</t>
        </is>
      </c>
      <c r="E55" t="inlineStr">
        <is>
          <t>ASX</t>
        </is>
      </c>
    </row>
    <row r="56">
      <c r="B56" t="inlineStr">
        <is>
          <t>AMC</t>
        </is>
      </c>
      <c r="C56" t="inlineStr">
        <is>
          <t>Amcor Plc</t>
        </is>
      </c>
      <c r="D56" t="inlineStr">
        <is>
          <t>AUD</t>
        </is>
      </c>
      <c r="E56" t="inlineStr">
        <is>
          <t>ASX</t>
        </is>
      </c>
    </row>
    <row r="57">
      <c r="B57" t="inlineStr">
        <is>
          <t>VCX</t>
        </is>
      </c>
      <c r="C57" t="inlineStr">
        <is>
          <t>Vicinity Centres</t>
        </is>
      </c>
      <c r="D57" t="inlineStr">
        <is>
          <t>AUD</t>
        </is>
      </c>
      <c r="E57" t="inlineStr">
        <is>
          <t>ASX</t>
        </is>
      </c>
    </row>
    <row r="58">
      <c r="B58" t="inlineStr">
        <is>
          <t>TNE</t>
        </is>
      </c>
      <c r="C58" t="inlineStr">
        <is>
          <t>Technology One Ltd</t>
        </is>
      </c>
      <c r="D58" t="inlineStr">
        <is>
          <t>AUD</t>
        </is>
      </c>
      <c r="E58" t="inlineStr">
        <is>
          <t>ASX</t>
        </is>
      </c>
    </row>
    <row r="59">
      <c r="B59" t="inlineStr">
        <is>
          <t>AFI</t>
        </is>
      </c>
      <c r="C59" t="inlineStr">
        <is>
          <t>Australian Foundation Investment Company Ltd</t>
        </is>
      </c>
      <c r="D59" t="inlineStr">
        <is>
          <t>AUD</t>
        </is>
      </c>
      <c r="E59" t="inlineStr">
        <is>
          <t>ASX</t>
        </is>
      </c>
    </row>
    <row r="60">
      <c r="B60" t="inlineStr">
        <is>
          <t>TLX</t>
        </is>
      </c>
      <c r="C60" t="inlineStr">
        <is>
          <t>TELIX Pharmaceuticals Ltd</t>
        </is>
      </c>
      <c r="D60" t="inlineStr">
        <is>
          <t>AUD</t>
        </is>
      </c>
      <c r="E60" t="inlineStr">
        <is>
          <t>ASX</t>
        </is>
      </c>
    </row>
    <row r="61">
      <c r="B61" t="inlineStr">
        <is>
          <t>BSL</t>
        </is>
      </c>
      <c r="C61" t="inlineStr">
        <is>
          <t>Bluescope Steel Ltd</t>
        </is>
      </c>
      <c r="D61" t="inlineStr">
        <is>
          <t>AUD</t>
        </is>
      </c>
      <c r="E61" t="inlineStr">
        <is>
          <t>ASX</t>
        </is>
      </c>
    </row>
    <row r="62">
      <c r="B62" t="inlineStr">
        <is>
          <t>APA</t>
        </is>
      </c>
      <c r="C62" t="inlineStr">
        <is>
          <t>APA Group</t>
        </is>
      </c>
      <c r="D62" t="inlineStr">
        <is>
          <t>AUD</t>
        </is>
      </c>
      <c r="E62" t="inlineStr">
        <is>
          <t>ASX</t>
        </is>
      </c>
    </row>
    <row r="63">
      <c r="B63" t="inlineStr">
        <is>
          <t>GPT</t>
        </is>
      </c>
      <c r="C63" t="inlineStr">
        <is>
          <t>GPT Group</t>
        </is>
      </c>
      <c r="D63" t="inlineStr">
        <is>
          <t>AUD</t>
        </is>
      </c>
      <c r="E63" t="inlineStr">
        <is>
          <t>ASX</t>
        </is>
      </c>
    </row>
    <row r="64">
      <c r="B64" t="inlineStr">
        <is>
          <t>TWE</t>
        </is>
      </c>
      <c r="C64" t="inlineStr">
        <is>
          <t>Treasury Wine Estates Ltd</t>
        </is>
      </c>
      <c r="D64" t="inlineStr">
        <is>
          <t>AUD</t>
        </is>
      </c>
      <c r="E64" t="inlineStr">
        <is>
          <t>ASX</t>
        </is>
      </c>
    </row>
    <row r="65">
      <c r="B65" t="inlineStr">
        <is>
          <t>ORI</t>
        </is>
      </c>
      <c r="C65" t="inlineStr">
        <is>
          <t>Orica Ltd</t>
        </is>
      </c>
      <c r="D65" t="inlineStr">
        <is>
          <t>AUD</t>
        </is>
      </c>
      <c r="E65" t="inlineStr">
        <is>
          <t>ASX</t>
        </is>
      </c>
    </row>
    <row r="66">
      <c r="B66" t="inlineStr">
        <is>
          <t>YAL</t>
        </is>
      </c>
      <c r="C66" t="inlineStr">
        <is>
          <t>Yancoal Australia Ltd</t>
        </is>
      </c>
      <c r="D66" t="inlineStr">
        <is>
          <t>AUD</t>
        </is>
      </c>
      <c r="E66" t="inlineStr">
        <is>
          <t>ASX</t>
        </is>
      </c>
    </row>
    <row r="67">
      <c r="B67" t="inlineStr">
        <is>
          <t>TPG</t>
        </is>
      </c>
      <c r="C67" t="inlineStr">
        <is>
          <t>TPG Telecom Ltd</t>
        </is>
      </c>
      <c r="D67" t="inlineStr">
        <is>
          <t>AUD</t>
        </is>
      </c>
      <c r="E67" t="inlineStr">
        <is>
          <t>ASX</t>
        </is>
      </c>
    </row>
    <row r="68">
      <c r="B68" t="inlineStr">
        <is>
          <t>MGOC</t>
        </is>
      </c>
      <c r="C68" t="inlineStr">
        <is>
          <t>Magellan Global Fund -Open Class Units -Active ETF</t>
        </is>
      </c>
      <c r="D68" t="inlineStr">
        <is>
          <t>AUD</t>
        </is>
      </c>
      <c r="E68" t="inlineStr">
        <is>
          <t>ASX</t>
        </is>
      </c>
    </row>
    <row r="69">
      <c r="B69" t="inlineStr">
        <is>
          <t>AGL</t>
        </is>
      </c>
      <c r="C69" t="inlineStr">
        <is>
          <t>AGL Energy Ltd</t>
        </is>
      </c>
      <c r="D69" t="inlineStr">
        <is>
          <t>AUD</t>
        </is>
      </c>
      <c r="E69" t="inlineStr">
        <is>
          <t>ASX</t>
        </is>
      </c>
    </row>
    <row r="70">
      <c r="B70" t="inlineStr">
        <is>
          <t>WOR</t>
        </is>
      </c>
      <c r="C70" t="inlineStr">
        <is>
          <t>Worley Ltd</t>
        </is>
      </c>
      <c r="D70" t="inlineStr">
        <is>
          <t>AUD</t>
        </is>
      </c>
      <c r="E70" t="inlineStr">
        <is>
          <t>ASX</t>
        </is>
      </c>
    </row>
    <row r="71">
      <c r="B71" t="inlineStr">
        <is>
          <t>SEK</t>
        </is>
      </c>
      <c r="C71" t="inlineStr">
        <is>
          <t>Seek Ltd</t>
        </is>
      </c>
      <c r="D71" t="inlineStr">
        <is>
          <t>AUD</t>
        </is>
      </c>
      <c r="E71" t="inlineStr">
        <is>
          <t>ASX</t>
        </is>
      </c>
    </row>
    <row r="72">
      <c r="B72" t="inlineStr">
        <is>
          <t>NEM</t>
        </is>
      </c>
      <c r="C72" t="inlineStr">
        <is>
          <t>Newmont Corporation</t>
        </is>
      </c>
      <c r="D72" t="inlineStr">
        <is>
          <t>AUD</t>
        </is>
      </c>
      <c r="E72" t="inlineStr">
        <is>
          <t>ASX</t>
        </is>
      </c>
    </row>
    <row r="73">
      <c r="B73" t="inlineStr">
        <is>
          <t>MCY</t>
        </is>
      </c>
      <c r="C73" t="inlineStr">
        <is>
          <t>Mercury NZ Ltd</t>
        </is>
      </c>
      <c r="D73" t="inlineStr">
        <is>
          <t>AUD</t>
        </is>
      </c>
      <c r="E73" t="inlineStr">
        <is>
          <t>ASX</t>
        </is>
      </c>
    </row>
    <row r="74">
      <c r="B74" t="inlineStr">
        <is>
          <t>RHC</t>
        </is>
      </c>
      <c r="C74" t="inlineStr">
        <is>
          <t>Ramsay Health Care Ltd</t>
        </is>
      </c>
      <c r="D74" t="inlineStr">
        <is>
          <t>AUD</t>
        </is>
      </c>
      <c r="E74" t="inlineStr">
        <is>
          <t>ASX</t>
        </is>
      </c>
    </row>
    <row r="75">
      <c r="B75" t="inlineStr">
        <is>
          <t>MGR</t>
        </is>
      </c>
      <c r="C75" t="inlineStr">
        <is>
          <t>Mirvac Group</t>
        </is>
      </c>
      <c r="D75" t="inlineStr">
        <is>
          <t>AUD</t>
        </is>
      </c>
      <c r="E75" t="inlineStr">
        <is>
          <t>ASX</t>
        </is>
      </c>
    </row>
    <row r="76">
      <c r="B76" t="inlineStr">
        <is>
          <t>ALQ</t>
        </is>
      </c>
      <c r="C76" t="inlineStr">
        <is>
          <t>Als Ltd</t>
        </is>
      </c>
      <c r="D76" t="inlineStr">
        <is>
          <t>AUD</t>
        </is>
      </c>
      <c r="E76" t="inlineStr">
        <is>
          <t>ASX</t>
        </is>
      </c>
    </row>
    <row r="77">
      <c r="B77" t="inlineStr">
        <is>
          <t>BEN</t>
        </is>
      </c>
      <c r="C77" t="inlineStr">
        <is>
          <t>Bendigo and Adelaide Bank Ltd</t>
        </is>
      </c>
      <c r="D77" t="inlineStr">
        <is>
          <t>AUD</t>
        </is>
      </c>
      <c r="E77" t="inlineStr">
        <is>
          <t>ASX</t>
        </is>
      </c>
    </row>
    <row r="78">
      <c r="B78" t="inlineStr">
        <is>
          <t>NWL</t>
        </is>
      </c>
      <c r="C78" t="inlineStr">
        <is>
          <t>Netwealth Group Ltd</t>
        </is>
      </c>
      <c r="D78" t="inlineStr">
        <is>
          <t>AUD</t>
        </is>
      </c>
      <c r="E78" t="inlineStr">
        <is>
          <t>ASX</t>
        </is>
      </c>
    </row>
    <row r="79">
      <c r="B79" t="inlineStr">
        <is>
          <t>EDV</t>
        </is>
      </c>
      <c r="C79" t="inlineStr">
        <is>
          <t>Endeavour Group Ltd</t>
        </is>
      </c>
      <c r="D79" t="inlineStr">
        <is>
          <t>AUD</t>
        </is>
      </c>
      <c r="E79" t="inlineStr">
        <is>
          <t>ASX</t>
        </is>
      </c>
    </row>
    <row r="80">
      <c r="B80" t="inlineStr">
        <is>
          <t>DXS</t>
        </is>
      </c>
      <c r="C80" t="inlineStr">
        <is>
          <t>Dexus</t>
        </is>
      </c>
      <c r="D80" t="inlineStr">
        <is>
          <t>AUD</t>
        </is>
      </c>
      <c r="E80" t="inlineStr">
        <is>
          <t>ASX</t>
        </is>
      </c>
    </row>
    <row r="81">
      <c r="B81" t="inlineStr">
        <is>
          <t>CHC</t>
        </is>
      </c>
      <c r="C81" t="inlineStr">
        <is>
          <t>Charter Hall Group</t>
        </is>
      </c>
      <c r="D81" t="inlineStr">
        <is>
          <t>AUD</t>
        </is>
      </c>
      <c r="E81" t="inlineStr">
        <is>
          <t>ASX</t>
        </is>
      </c>
    </row>
    <row r="82">
      <c r="B82" t="inlineStr">
        <is>
          <t>ALX</t>
        </is>
      </c>
      <c r="C82" t="inlineStr">
        <is>
          <t>Atlas Arteria</t>
        </is>
      </c>
      <c r="D82" t="inlineStr">
        <is>
          <t>AUD</t>
        </is>
      </c>
      <c r="E82" t="inlineStr">
        <is>
          <t>ASX</t>
        </is>
      </c>
    </row>
    <row r="83">
      <c r="B83" t="inlineStr">
        <is>
          <t>QUAL</t>
        </is>
      </c>
      <c r="C83" t="inlineStr">
        <is>
          <t>Vaneck MSCI International Quality ETF</t>
        </is>
      </c>
      <c r="D83" t="inlineStr">
        <is>
          <t>AUD</t>
        </is>
      </c>
      <c r="E83" t="inlineStr">
        <is>
          <t>ASX</t>
        </is>
      </c>
    </row>
    <row r="84">
      <c r="B84" t="inlineStr">
        <is>
          <t>QUB</t>
        </is>
      </c>
      <c r="C84" t="inlineStr">
        <is>
          <t>QUBE Holdings Ltd</t>
        </is>
      </c>
      <c r="D84" t="inlineStr">
        <is>
          <t>AUD</t>
        </is>
      </c>
      <c r="E84" t="inlineStr">
        <is>
          <t>ASX</t>
        </is>
      </c>
    </row>
    <row r="85">
      <c r="B85" t="inlineStr">
        <is>
          <t>ALD</t>
        </is>
      </c>
      <c r="C85" t="inlineStr">
        <is>
          <t>Ampol Ltd</t>
        </is>
      </c>
      <c r="D85" t="inlineStr">
        <is>
          <t>AUD</t>
        </is>
      </c>
      <c r="E85" t="inlineStr">
        <is>
          <t>ASX</t>
        </is>
      </c>
    </row>
    <row r="86">
      <c r="B86" t="inlineStr">
        <is>
          <t>MIN</t>
        </is>
      </c>
      <c r="C86" t="inlineStr">
        <is>
          <t>Mineral Resources Ltd</t>
        </is>
      </c>
      <c r="D86" t="inlineStr">
        <is>
          <t>AUD</t>
        </is>
      </c>
      <c r="E86" t="inlineStr">
        <is>
          <t>ASX</t>
        </is>
      </c>
    </row>
    <row r="87">
      <c r="B87" t="inlineStr">
        <is>
          <t>XYZ</t>
        </is>
      </c>
      <c r="C87" t="inlineStr">
        <is>
          <t>Block, Inc</t>
        </is>
      </c>
      <c r="D87" t="inlineStr">
        <is>
          <t>AUD</t>
        </is>
      </c>
      <c r="E87" t="inlineStr">
        <is>
          <t>ASX</t>
        </is>
      </c>
    </row>
    <row r="88">
      <c r="B88" t="inlineStr">
        <is>
          <t>PLS</t>
        </is>
      </c>
      <c r="C88" t="inlineStr">
        <is>
          <t>Pilbara Minerals Ltd</t>
        </is>
      </c>
      <c r="D88" t="inlineStr">
        <is>
          <t>AUD</t>
        </is>
      </c>
      <c r="E88" t="inlineStr">
        <is>
          <t>ASX</t>
        </is>
      </c>
    </row>
    <row r="89">
      <c r="B89" t="inlineStr">
        <is>
          <t>ARG</t>
        </is>
      </c>
      <c r="C89" t="inlineStr">
        <is>
          <t>Argo Investments Ltd</t>
        </is>
      </c>
      <c r="D89" t="inlineStr">
        <is>
          <t>AUD</t>
        </is>
      </c>
      <c r="E89" t="inlineStr">
        <is>
          <t>ASX</t>
        </is>
      </c>
    </row>
    <row r="90">
      <c r="B90" t="inlineStr">
        <is>
          <t>MEZ</t>
        </is>
      </c>
      <c r="C90" t="inlineStr">
        <is>
          <t>Meridian Energy Ltd</t>
        </is>
      </c>
      <c r="D90" t="inlineStr">
        <is>
          <t>AUD</t>
        </is>
      </c>
      <c r="E90" t="inlineStr">
        <is>
          <t>ASX</t>
        </is>
      </c>
    </row>
    <row r="91">
      <c r="B91" t="inlineStr">
        <is>
          <t>EBO</t>
        </is>
      </c>
      <c r="C91" t="inlineStr">
        <is>
          <t>Ebos Group Ltd</t>
        </is>
      </c>
      <c r="D91" t="inlineStr">
        <is>
          <t>AUD</t>
        </is>
      </c>
      <c r="E91" t="inlineStr">
        <is>
          <t>ASX</t>
        </is>
      </c>
    </row>
    <row r="92">
      <c r="B92" t="inlineStr">
        <is>
          <t>IOZ</t>
        </is>
      </c>
      <c r="C92" t="inlineStr">
        <is>
          <t>Ishares Core S&amp;P/ASX 200 ETF</t>
        </is>
      </c>
      <c r="D92" t="inlineStr">
        <is>
          <t>AUD</t>
        </is>
      </c>
      <c r="E92" t="inlineStr">
        <is>
          <t>ASX</t>
        </is>
      </c>
    </row>
    <row r="93">
      <c r="B93" t="inlineStr">
        <is>
          <t>A200</t>
        </is>
      </c>
      <c r="C93" t="inlineStr">
        <is>
          <t>Betashares Australia 200 ETF</t>
        </is>
      </c>
      <c r="D93" t="inlineStr">
        <is>
          <t>AUD</t>
        </is>
      </c>
      <c r="E93" t="inlineStr">
        <is>
          <t>ASX</t>
        </is>
      </c>
    </row>
    <row r="94">
      <c r="B94" t="inlineStr">
        <is>
          <t>SDF</t>
        </is>
      </c>
      <c r="C94" t="inlineStr">
        <is>
          <t>Steadfast Group Ltd</t>
        </is>
      </c>
      <c r="D94" t="inlineStr">
        <is>
          <t>AUD</t>
        </is>
      </c>
      <c r="E94" t="inlineStr">
        <is>
          <t>ASX</t>
        </is>
      </c>
    </row>
    <row r="95">
      <c r="B95" t="inlineStr">
        <is>
          <t>HUB</t>
        </is>
      </c>
      <c r="C95" t="inlineStr">
        <is>
          <t>HUB24 Ltd</t>
        </is>
      </c>
      <c r="D95" t="inlineStr">
        <is>
          <t>AUD</t>
        </is>
      </c>
      <c r="E95" t="inlineStr">
        <is>
          <t>ASX</t>
        </is>
      </c>
    </row>
    <row r="96">
      <c r="B96" t="inlineStr">
        <is>
          <t>CWY</t>
        </is>
      </c>
      <c r="C96" t="inlineStr">
        <is>
          <t>Cleanaway Waste Management Ltd</t>
        </is>
      </c>
      <c r="D96" t="inlineStr">
        <is>
          <t>AUD</t>
        </is>
      </c>
      <c r="E96" t="inlineStr">
        <is>
          <t>ASX</t>
        </is>
      </c>
    </row>
    <row r="97">
      <c r="B97" t="inlineStr">
        <is>
          <t>HVN</t>
        </is>
      </c>
      <c r="C97" t="inlineStr">
        <is>
          <t>Harvey Norman Holdings Ltd</t>
        </is>
      </c>
      <c r="D97" t="inlineStr">
        <is>
          <t>AUD</t>
        </is>
      </c>
      <c r="E97" t="inlineStr">
        <is>
          <t>ASX</t>
        </is>
      </c>
    </row>
    <row r="98">
      <c r="B98" t="inlineStr">
        <is>
          <t>NDQ</t>
        </is>
      </c>
      <c r="C98" t="inlineStr">
        <is>
          <t>Betashares Nasdaq 100 ETF</t>
        </is>
      </c>
      <c r="D98" t="inlineStr">
        <is>
          <t>AUD</t>
        </is>
      </c>
      <c r="E98" t="inlineStr">
        <is>
          <t>ASX</t>
        </is>
      </c>
    </row>
    <row r="99">
      <c r="B99" t="inlineStr">
        <is>
          <t>LYC</t>
        </is>
      </c>
      <c r="C99" t="inlineStr">
        <is>
          <t>Lynas Rare EARTHS Ltd</t>
        </is>
      </c>
      <c r="D99" t="inlineStr">
        <is>
          <t>AUD</t>
        </is>
      </c>
      <c r="E99" t="inlineStr">
        <is>
          <t>ASX</t>
        </is>
      </c>
    </row>
    <row r="100">
      <c r="B100" t="inlineStr">
        <is>
          <t>GQG</t>
        </is>
      </c>
      <c r="C100" t="inlineStr">
        <is>
          <t>GQG Partners Inc</t>
        </is>
      </c>
      <c r="D100" t="inlineStr">
        <is>
          <t>AUD</t>
        </is>
      </c>
      <c r="E100" t="inlineStr">
        <is>
          <t>ASX</t>
        </is>
      </c>
    </row>
    <row r="101">
      <c r="B101" t="inlineStr">
        <is>
          <t>PNI</t>
        </is>
      </c>
      <c r="C101" t="inlineStr">
        <is>
          <t>Pinnacle Investment Management Group Ltd</t>
        </is>
      </c>
      <c r="D101" t="inlineStr">
        <is>
          <t>AUD</t>
        </is>
      </c>
      <c r="E101" t="inlineStr">
        <is>
          <t>ASX</t>
        </is>
      </c>
    </row>
    <row r="102">
      <c r="B102" t="inlineStr">
        <is>
          <t>AZJ</t>
        </is>
      </c>
      <c r="C102" t="inlineStr">
        <is>
          <t>Aurizon Holdings Ltd</t>
        </is>
      </c>
      <c r="D102" t="inlineStr">
        <is>
          <t>AUD</t>
        </is>
      </c>
      <c r="E102" t="inlineStr">
        <is>
          <t>ASX</t>
        </is>
      </c>
    </row>
    <row r="103">
      <c r="B103" t="inlineStr">
        <is>
          <t>VTS</t>
        </is>
      </c>
      <c r="C103" t="inlineStr">
        <is>
          <t>Vanguard US Total Market Shares INDEX ETF</t>
        </is>
      </c>
      <c r="D103" t="inlineStr">
        <is>
          <t>AUD</t>
        </is>
      </c>
      <c r="E103" t="inlineStr">
        <is>
          <t>ASX</t>
        </is>
      </c>
    </row>
    <row r="104">
      <c r="B104" t="inlineStr">
        <is>
          <t>STW</t>
        </is>
      </c>
      <c r="C104" t="inlineStr">
        <is>
          <t>SPDR S&amp;P/ASX 200 Fund</t>
        </is>
      </c>
      <c r="D104" t="inlineStr">
        <is>
          <t>AUD</t>
        </is>
      </c>
      <c r="E104" t="inlineStr">
        <is>
          <t>ASX</t>
        </is>
      </c>
    </row>
    <row r="105">
      <c r="B105" t="inlineStr">
        <is>
          <t>IPL</t>
        </is>
      </c>
      <c r="C105" t="inlineStr">
        <is>
          <t>Incitec Pivot Ltd</t>
        </is>
      </c>
      <c r="D105" t="inlineStr">
        <is>
          <t>AUD</t>
        </is>
      </c>
      <c r="E105" t="inlineStr">
        <is>
          <t>ASX</t>
        </is>
      </c>
    </row>
    <row r="106">
      <c r="B106" t="inlineStr">
        <is>
          <t>DACE</t>
        </is>
      </c>
      <c r="C106" t="inlineStr">
        <is>
          <t>Dimensional Australian Core Equity Trust - Active ETF</t>
        </is>
      </c>
      <c r="D106" t="inlineStr">
        <is>
          <t>AUD</t>
        </is>
      </c>
      <c r="E106" t="inlineStr">
        <is>
          <t>ASX</t>
        </is>
      </c>
    </row>
    <row r="107">
      <c r="B107" t="inlineStr">
        <is>
          <t>BRG</t>
        </is>
      </c>
      <c r="C107" t="inlineStr">
        <is>
          <t>Breville Group Ltd</t>
        </is>
      </c>
      <c r="D107" t="inlineStr">
        <is>
          <t>AUD</t>
        </is>
      </c>
      <c r="E107" t="inlineStr">
        <is>
          <t>ASX</t>
        </is>
      </c>
    </row>
    <row r="108">
      <c r="B108" t="inlineStr">
        <is>
          <t>WHC</t>
        </is>
      </c>
      <c r="C108" t="inlineStr">
        <is>
          <t>Whitehaven Coal Ltd</t>
        </is>
      </c>
      <c r="D108" t="inlineStr">
        <is>
          <t>AUD</t>
        </is>
      </c>
      <c r="E108" t="inlineStr">
        <is>
          <t>ASX</t>
        </is>
      </c>
    </row>
    <row r="109">
      <c r="B109" t="inlineStr">
        <is>
          <t>ANN</t>
        </is>
      </c>
      <c r="C109" t="inlineStr">
        <is>
          <t>Ansell Ltd</t>
        </is>
      </c>
      <c r="D109" t="inlineStr">
        <is>
          <t>AUD</t>
        </is>
      </c>
      <c r="E109" t="inlineStr">
        <is>
          <t>ASX</t>
        </is>
      </c>
    </row>
    <row r="110">
      <c r="B110" t="inlineStr">
        <is>
          <t>SPK</t>
        </is>
      </c>
      <c r="C110" t="inlineStr">
        <is>
          <t>Spark New Zealand Ltd</t>
        </is>
      </c>
      <c r="D110" t="inlineStr">
        <is>
          <t>AUD</t>
        </is>
      </c>
      <c r="E110" t="inlineStr">
        <is>
          <t>ASX</t>
        </is>
      </c>
    </row>
    <row r="111">
      <c r="B111" t="inlineStr">
        <is>
          <t>DEG</t>
        </is>
      </c>
      <c r="C111" t="inlineStr">
        <is>
          <t>De Grey Mining Ltd</t>
        </is>
      </c>
      <c r="D111" t="inlineStr">
        <is>
          <t>AUD</t>
        </is>
      </c>
      <c r="E111" t="inlineStr">
        <is>
          <t>ASX</t>
        </is>
      </c>
    </row>
    <row r="112">
      <c r="B112" t="inlineStr">
        <is>
          <t>PMV</t>
        </is>
      </c>
      <c r="C112" t="inlineStr">
        <is>
          <t>Premier Investments Ltd</t>
        </is>
      </c>
      <c r="D112" t="inlineStr">
        <is>
          <t>AUD</t>
        </is>
      </c>
      <c r="E112" t="inlineStr">
        <is>
          <t>ASX</t>
        </is>
      </c>
    </row>
    <row r="113">
      <c r="B113" t="inlineStr">
        <is>
          <t>SFR</t>
        </is>
      </c>
      <c r="C113" t="inlineStr">
        <is>
          <t>Sandfire Resources Ltd</t>
        </is>
      </c>
      <c r="D113" t="inlineStr">
        <is>
          <t>AUD</t>
        </is>
      </c>
      <c r="E113" t="inlineStr">
        <is>
          <t>ASX</t>
        </is>
      </c>
    </row>
    <row r="114">
      <c r="B114" t="inlineStr">
        <is>
          <t>AMP</t>
        </is>
      </c>
      <c r="C114" t="inlineStr">
        <is>
          <t>AMP Ltd</t>
        </is>
      </c>
      <c r="D114" t="inlineStr">
        <is>
          <t>AUD</t>
        </is>
      </c>
      <c r="E114" t="inlineStr">
        <is>
          <t>ASX</t>
        </is>
      </c>
    </row>
    <row r="115">
      <c r="B115" t="inlineStr">
        <is>
          <t>DGCE</t>
        </is>
      </c>
      <c r="C115" t="inlineStr">
        <is>
          <t>Dimensional Global Core Equity Trust Unhedged - Active ETF</t>
        </is>
      </c>
      <c r="D115" t="inlineStr">
        <is>
          <t>AUD</t>
        </is>
      </c>
      <c r="E115" t="inlineStr">
        <is>
          <t>ASX</t>
        </is>
      </c>
    </row>
    <row r="116">
      <c r="B116" t="inlineStr">
        <is>
          <t>360</t>
        </is>
      </c>
      <c r="C116" t="inlineStr">
        <is>
          <t>LIFE360 Inc</t>
        </is>
      </c>
      <c r="D116" t="inlineStr">
        <is>
          <t>AUD</t>
        </is>
      </c>
      <c r="E116" t="inlineStr">
        <is>
          <t>ASX</t>
        </is>
      </c>
    </row>
    <row r="117">
      <c r="B117" t="inlineStr">
        <is>
          <t>BOQ</t>
        </is>
      </c>
      <c r="C117" t="inlineStr">
        <is>
          <t>Bank of Queensland Ltd</t>
        </is>
      </c>
      <c r="D117" t="inlineStr">
        <is>
          <t>AUD</t>
        </is>
      </c>
      <c r="E117" t="inlineStr">
        <is>
          <t>ASX</t>
        </is>
      </c>
    </row>
    <row r="118">
      <c r="B118" t="inlineStr">
        <is>
          <t>IOO</t>
        </is>
      </c>
      <c r="C118" t="inlineStr">
        <is>
          <t>Ishares Global 100 ETF</t>
        </is>
      </c>
      <c r="D118" t="inlineStr">
        <is>
          <t>AUD</t>
        </is>
      </c>
      <c r="E118" t="inlineStr">
        <is>
          <t>ASX</t>
        </is>
      </c>
    </row>
    <row r="119">
      <c r="B119" t="inlineStr">
        <is>
          <t>GOLD</t>
        </is>
      </c>
      <c r="C119" t="inlineStr">
        <is>
          <t>Global X Physical Gold</t>
        </is>
      </c>
      <c r="D119" t="inlineStr">
        <is>
          <t>AUD</t>
        </is>
      </c>
      <c r="E119" t="inlineStr">
        <is>
          <t>ASX</t>
        </is>
      </c>
    </row>
    <row r="120">
      <c r="B120" t="inlineStr">
        <is>
          <t>SIG</t>
        </is>
      </c>
      <c r="C120" t="inlineStr">
        <is>
          <t>Sigma Healthcare Ltd</t>
        </is>
      </c>
      <c r="D120" t="inlineStr">
        <is>
          <t>AUD</t>
        </is>
      </c>
      <c r="E120" t="inlineStr">
        <is>
          <t>ASX</t>
        </is>
      </c>
    </row>
    <row r="121">
      <c r="B121" t="inlineStr">
        <is>
          <t>VHY</t>
        </is>
      </c>
      <c r="C121" t="inlineStr">
        <is>
          <t>Vanguard Australian Shares High Yield ETF</t>
        </is>
      </c>
      <c r="D121" t="inlineStr">
        <is>
          <t>AUD</t>
        </is>
      </c>
      <c r="E121" t="inlineStr">
        <is>
          <t>ASX</t>
        </is>
      </c>
    </row>
    <row r="122">
      <c r="B122" t="inlineStr">
        <is>
          <t>LLC</t>
        </is>
      </c>
      <c r="C122" t="inlineStr">
        <is>
          <t>Lendlease Group</t>
        </is>
      </c>
      <c r="D122" t="inlineStr">
        <is>
          <t>AUD</t>
        </is>
      </c>
      <c r="E122" t="inlineStr">
        <is>
          <t>ASX</t>
        </is>
      </c>
    </row>
    <row r="123">
      <c r="B123" t="inlineStr">
        <is>
          <t>VEA</t>
        </is>
      </c>
      <c r="C123" t="inlineStr">
        <is>
          <t>Viva Energy Group Ltd</t>
        </is>
      </c>
      <c r="D123" t="inlineStr">
        <is>
          <t>AUD</t>
        </is>
      </c>
      <c r="E123" t="inlineStr">
        <is>
          <t>ASX</t>
        </is>
      </c>
    </row>
    <row r="124">
      <c r="B124" t="inlineStr">
        <is>
          <t>CGF</t>
        </is>
      </c>
      <c r="C124" t="inlineStr">
        <is>
          <t>Challenger Ltd</t>
        </is>
      </c>
      <c r="D124" t="inlineStr">
        <is>
          <t>AUD</t>
        </is>
      </c>
      <c r="E124" t="inlineStr">
        <is>
          <t>ASX</t>
        </is>
      </c>
    </row>
    <row r="125">
      <c r="B125" t="inlineStr">
        <is>
          <t>A2M</t>
        </is>
      </c>
      <c r="C125" t="inlineStr">
        <is>
          <t>The a2 Milk Company Ltd</t>
        </is>
      </c>
      <c r="D125" t="inlineStr">
        <is>
          <t>AUD</t>
        </is>
      </c>
      <c r="E125" t="inlineStr">
        <is>
          <t>ASX</t>
        </is>
      </c>
    </row>
    <row r="126">
      <c r="B126" t="inlineStr">
        <is>
          <t>ZIP</t>
        </is>
      </c>
      <c r="C126" t="inlineStr">
        <is>
          <t>ZIP Co Ltd</t>
        </is>
      </c>
      <c r="D126" t="inlineStr">
        <is>
          <t>AUD</t>
        </is>
      </c>
      <c r="E126" t="inlineStr">
        <is>
          <t>ASX</t>
        </is>
      </c>
    </row>
    <row r="127">
      <c r="B127" t="inlineStr">
        <is>
          <t>RWC</t>
        </is>
      </c>
      <c r="C127" t="inlineStr">
        <is>
          <t>Reliance Worldwide Corporation Ltd</t>
        </is>
      </c>
      <c r="D127" t="inlineStr">
        <is>
          <t>AUD</t>
        </is>
      </c>
      <c r="E127" t="inlineStr">
        <is>
          <t>ASX</t>
        </is>
      </c>
    </row>
    <row r="128">
      <c r="B128" t="inlineStr">
        <is>
          <t>NHC</t>
        </is>
      </c>
      <c r="C128" t="inlineStr">
        <is>
          <t>New Hope Corporation Ltd</t>
        </is>
      </c>
      <c r="D128" t="inlineStr">
        <is>
          <t>AUD</t>
        </is>
      </c>
      <c r="E128" t="inlineStr">
        <is>
          <t>ASX</t>
        </is>
      </c>
    </row>
    <row r="129">
      <c r="B129" t="inlineStr">
        <is>
          <t>VGAD</t>
        </is>
      </c>
      <c r="C129" t="inlineStr">
        <is>
          <t>Vanguard MSCI INDEX International Shares (Hedged) ETF</t>
        </is>
      </c>
      <c r="D129" t="inlineStr">
        <is>
          <t>AUD</t>
        </is>
      </c>
      <c r="E129" t="inlineStr">
        <is>
          <t>ASX</t>
        </is>
      </c>
    </row>
    <row r="130">
      <c r="B130" t="inlineStr">
        <is>
          <t>GYG</t>
        </is>
      </c>
      <c r="C130" t="inlineStr">
        <is>
          <t>Guzman Y GOMEZ Ltd</t>
        </is>
      </c>
      <c r="D130" t="inlineStr">
        <is>
          <t>AUD</t>
        </is>
      </c>
      <c r="E130" t="inlineStr">
        <is>
          <t>ASX</t>
        </is>
      </c>
    </row>
    <row r="131">
      <c r="B131" t="inlineStr">
        <is>
          <t>IGO</t>
        </is>
      </c>
      <c r="C131" t="inlineStr">
        <is>
          <t>IGO Ltd</t>
        </is>
      </c>
      <c r="D131" t="inlineStr">
        <is>
          <t>AUD</t>
        </is>
      </c>
      <c r="E131" t="inlineStr">
        <is>
          <t>ASX</t>
        </is>
      </c>
    </row>
    <row r="132">
      <c r="B132" t="inlineStr">
        <is>
          <t>BKW</t>
        </is>
      </c>
      <c r="C132" t="inlineStr">
        <is>
          <t>Brickworks Ltd</t>
        </is>
      </c>
      <c r="D132" t="inlineStr">
        <is>
          <t>AUD</t>
        </is>
      </c>
      <c r="E132" t="inlineStr">
        <is>
          <t>ASX</t>
        </is>
      </c>
    </row>
    <row r="133">
      <c r="B133" t="inlineStr">
        <is>
          <t>HMC</t>
        </is>
      </c>
      <c r="C133" t="inlineStr">
        <is>
          <t>HMC Capital Ltd</t>
        </is>
      </c>
      <c r="D133" t="inlineStr">
        <is>
          <t>AUD</t>
        </is>
      </c>
      <c r="E133" t="inlineStr">
        <is>
          <t>ASX</t>
        </is>
      </c>
    </row>
    <row r="134">
      <c r="B134" t="inlineStr">
        <is>
          <t>PRU</t>
        </is>
      </c>
      <c r="C134" t="inlineStr">
        <is>
          <t>Perseus Mining Ltd</t>
        </is>
      </c>
      <c r="D134" t="inlineStr">
        <is>
          <t>AUD</t>
        </is>
      </c>
      <c r="E134" t="inlineStr">
        <is>
          <t>ASX</t>
        </is>
      </c>
    </row>
    <row r="135">
      <c r="B135" t="inlineStr">
        <is>
          <t>ETHI</t>
        </is>
      </c>
      <c r="C135" t="inlineStr">
        <is>
          <t>Betashares Global Sustainability Leaders ETF</t>
        </is>
      </c>
      <c r="D135" t="inlineStr">
        <is>
          <t>AUD</t>
        </is>
      </c>
      <c r="E135" t="inlineStr">
        <is>
          <t>ASX</t>
        </is>
      </c>
    </row>
    <row r="136">
      <c r="B136" t="inlineStr">
        <is>
          <t>FLT</t>
        </is>
      </c>
      <c r="C136" t="inlineStr">
        <is>
          <t>Flight Centre Travel Group Ltd</t>
        </is>
      </c>
      <c r="D136" t="inlineStr">
        <is>
          <t>AUD</t>
        </is>
      </c>
      <c r="E136" t="inlineStr">
        <is>
          <t>ASX</t>
        </is>
      </c>
    </row>
    <row r="137">
      <c r="B137" t="inlineStr">
        <is>
          <t>AAA</t>
        </is>
      </c>
      <c r="C137" t="inlineStr">
        <is>
          <t>Betashares Australian High Interest Cash ETF</t>
        </is>
      </c>
      <c r="D137" t="inlineStr">
        <is>
          <t>AUD</t>
        </is>
      </c>
      <c r="E137" t="inlineStr">
        <is>
          <t>ASX</t>
        </is>
      </c>
    </row>
    <row r="138">
      <c r="B138" t="inlineStr">
        <is>
          <t>DOW</t>
        </is>
      </c>
      <c r="C138" t="inlineStr">
        <is>
          <t>Downer Edi Ltd</t>
        </is>
      </c>
      <c r="D138" t="inlineStr">
        <is>
          <t>AUD</t>
        </is>
      </c>
      <c r="E138" t="inlineStr">
        <is>
          <t>ASX</t>
        </is>
      </c>
    </row>
    <row r="139">
      <c r="B139" t="inlineStr">
        <is>
          <t>LNW</t>
        </is>
      </c>
      <c r="C139" t="inlineStr">
        <is>
          <t>Light &amp; Wonder Inc</t>
        </is>
      </c>
      <c r="D139" t="inlineStr">
        <is>
          <t>AUD</t>
        </is>
      </c>
      <c r="E139" t="inlineStr">
        <is>
          <t>ASX</t>
        </is>
      </c>
    </row>
    <row r="140">
      <c r="B140" t="inlineStr">
        <is>
          <t>MSB</t>
        </is>
      </c>
      <c r="C140" t="inlineStr">
        <is>
          <t>Mesoblast Ltd</t>
        </is>
      </c>
      <c r="D140" t="inlineStr">
        <is>
          <t>AUD</t>
        </is>
      </c>
      <c r="E140" t="inlineStr">
        <is>
          <t>ASX</t>
        </is>
      </c>
    </row>
    <row r="141">
      <c r="B141" t="inlineStr">
        <is>
          <t>AAI</t>
        </is>
      </c>
      <c r="C141" t="inlineStr">
        <is>
          <t>Alcoa Corporation</t>
        </is>
      </c>
      <c r="D141" t="inlineStr">
        <is>
          <t>AUD</t>
        </is>
      </c>
      <c r="E141" t="inlineStr">
        <is>
          <t>ASX</t>
        </is>
      </c>
    </row>
    <row r="142">
      <c r="B142" t="inlineStr">
        <is>
          <t>AUB</t>
        </is>
      </c>
      <c r="C142" t="inlineStr">
        <is>
          <t>AUB Group Ltd</t>
        </is>
      </c>
      <c r="D142" t="inlineStr">
        <is>
          <t>AUD</t>
        </is>
      </c>
      <c r="E142" t="inlineStr">
        <is>
          <t>ASX</t>
        </is>
      </c>
    </row>
    <row r="143">
      <c r="B143" t="inlineStr">
        <is>
          <t>PDN</t>
        </is>
      </c>
      <c r="C143" t="inlineStr">
        <is>
          <t>Paladin Energy Ltd</t>
        </is>
      </c>
      <c r="D143" t="inlineStr">
        <is>
          <t>AUD</t>
        </is>
      </c>
      <c r="E143" t="inlineStr">
        <is>
          <t>ASX</t>
        </is>
      </c>
    </row>
    <row r="144">
      <c r="B144" t="inlineStr">
        <is>
          <t>NIC</t>
        </is>
      </c>
      <c r="C144" t="inlineStr">
        <is>
          <t>Nickel Industries Ltd</t>
        </is>
      </c>
      <c r="D144" t="inlineStr">
        <is>
          <t>AUD</t>
        </is>
      </c>
      <c r="E144" t="inlineStr">
        <is>
          <t>ASX</t>
        </is>
      </c>
    </row>
    <row r="145">
      <c r="B145" t="inlineStr">
        <is>
          <t>IEL</t>
        </is>
      </c>
      <c r="C145" t="inlineStr">
        <is>
          <t>Idp Education Ltd</t>
        </is>
      </c>
      <c r="D145" t="inlineStr">
        <is>
          <t>AUD</t>
        </is>
      </c>
      <c r="E145" t="inlineStr">
        <is>
          <t>ASX</t>
        </is>
      </c>
    </row>
    <row r="146">
      <c r="B146" t="inlineStr">
        <is>
          <t>HYGG</t>
        </is>
      </c>
      <c r="C146" t="inlineStr">
        <is>
          <t>Hyperion GBL Growth Companies Fund (Managed Fund)</t>
        </is>
      </c>
      <c r="D146" t="inlineStr">
        <is>
          <t>AUD</t>
        </is>
      </c>
      <c r="E146" t="inlineStr">
        <is>
          <t>ASX</t>
        </is>
      </c>
    </row>
    <row r="147">
      <c r="B147" t="inlineStr">
        <is>
          <t>VEU</t>
        </is>
      </c>
      <c r="C147" t="inlineStr">
        <is>
          <t>Vanguard All-World Ex-US Shares INDEX ETF</t>
        </is>
      </c>
      <c r="D147" t="inlineStr">
        <is>
          <t>AUD</t>
        </is>
      </c>
      <c r="E147" t="inlineStr">
        <is>
          <t>ASX</t>
        </is>
      </c>
    </row>
    <row r="148">
      <c r="B148" t="inlineStr">
        <is>
          <t>GMD</t>
        </is>
      </c>
      <c r="C148" t="inlineStr">
        <is>
          <t>Genesis Minerals Ltd</t>
        </is>
      </c>
      <c r="D148" t="inlineStr">
        <is>
          <t>AUD</t>
        </is>
      </c>
      <c r="E148" t="inlineStr">
        <is>
          <t>ASX</t>
        </is>
      </c>
    </row>
    <row r="149">
      <c r="B149" t="inlineStr">
        <is>
          <t>SUL</t>
        </is>
      </c>
      <c r="C149" t="inlineStr">
        <is>
          <t>Super Retail Group Ltd</t>
        </is>
      </c>
      <c r="D149" t="inlineStr">
        <is>
          <t>AUD</t>
        </is>
      </c>
      <c r="E149" t="inlineStr">
        <is>
          <t>ASX</t>
        </is>
      </c>
    </row>
    <row r="150">
      <c r="B150" t="inlineStr">
        <is>
          <t>BPT</t>
        </is>
      </c>
      <c r="C150" t="inlineStr">
        <is>
          <t>Beach Energy Ltd</t>
        </is>
      </c>
      <c r="D150" t="inlineStr">
        <is>
          <t>AUD</t>
        </is>
      </c>
      <c r="E150" t="inlineStr">
        <is>
          <t>ASX</t>
        </is>
      </c>
    </row>
    <row r="151">
      <c r="B151" t="inlineStr">
        <is>
          <t>BFL</t>
        </is>
      </c>
      <c r="C151" t="inlineStr">
        <is>
          <t>BSP Financial Group Ltd</t>
        </is>
      </c>
      <c r="D151" t="inlineStr">
        <is>
          <t>AUD</t>
        </is>
      </c>
      <c r="E151" t="inlineStr">
        <is>
          <t>ASX</t>
        </is>
      </c>
    </row>
    <row r="152">
      <c r="B152" t="inlineStr">
        <is>
          <t>MTS</t>
        </is>
      </c>
      <c r="C152" t="inlineStr">
        <is>
          <t>Metcash Ltd</t>
        </is>
      </c>
      <c r="D152" t="inlineStr">
        <is>
          <t>AUD</t>
        </is>
      </c>
      <c r="E152" t="inlineStr">
        <is>
          <t>ASX</t>
        </is>
      </c>
    </row>
    <row r="153">
      <c r="B153" t="inlineStr">
        <is>
          <t>CNU</t>
        </is>
      </c>
      <c r="C153" t="inlineStr">
        <is>
          <t>Chorus Ltd</t>
        </is>
      </c>
      <c r="D153" t="inlineStr">
        <is>
          <t>AUD</t>
        </is>
      </c>
      <c r="E153" t="inlineStr">
        <is>
          <t>ASX</t>
        </is>
      </c>
    </row>
    <row r="154">
      <c r="B154" t="inlineStr">
        <is>
          <t>ARB</t>
        </is>
      </c>
      <c r="C154" t="inlineStr">
        <is>
          <t>ARB Corporation Ltd</t>
        </is>
      </c>
      <c r="D154" t="inlineStr">
        <is>
          <t>AUD</t>
        </is>
      </c>
      <c r="E154" t="inlineStr">
        <is>
          <t>ASX</t>
        </is>
      </c>
    </row>
    <row r="155">
      <c r="B155" t="inlineStr">
        <is>
          <t>VNT</t>
        </is>
      </c>
      <c r="C155" t="inlineStr">
        <is>
          <t>Ventia Services Group Ltd</t>
        </is>
      </c>
      <c r="D155" t="inlineStr">
        <is>
          <t>AUD</t>
        </is>
      </c>
      <c r="E155" t="inlineStr">
        <is>
          <t>ASX</t>
        </is>
      </c>
    </row>
    <row r="156">
      <c r="B156" t="inlineStr">
        <is>
          <t>ORA</t>
        </is>
      </c>
      <c r="C156" t="inlineStr">
        <is>
          <t>Orora Ltd</t>
        </is>
      </c>
      <c r="D156" t="inlineStr">
        <is>
          <t>AUD</t>
        </is>
      </c>
      <c r="E156" t="inlineStr">
        <is>
          <t>ASX</t>
        </is>
      </c>
    </row>
    <row r="157">
      <c r="B157" t="inlineStr">
        <is>
          <t>APE</t>
        </is>
      </c>
      <c r="C157" t="inlineStr">
        <is>
          <t>Eagers Automotive Ltd</t>
        </is>
      </c>
      <c r="D157" t="inlineStr">
        <is>
          <t>AUD</t>
        </is>
      </c>
      <c r="E157" t="inlineStr">
        <is>
          <t>ASX</t>
        </is>
      </c>
    </row>
    <row r="158">
      <c r="B158" t="inlineStr">
        <is>
          <t>LOV</t>
        </is>
      </c>
      <c r="C158" t="inlineStr">
        <is>
          <t>Lovisa Holdings Ltd</t>
        </is>
      </c>
      <c r="D158" t="inlineStr">
        <is>
          <t>AUD</t>
        </is>
      </c>
      <c r="E158" t="inlineStr">
        <is>
          <t>ASX</t>
        </is>
      </c>
    </row>
    <row r="159">
      <c r="B159" t="inlineStr">
        <is>
          <t>NSR</t>
        </is>
      </c>
      <c r="C159" t="inlineStr">
        <is>
          <t>National Storage REIT</t>
        </is>
      </c>
      <c r="D159" t="inlineStr">
        <is>
          <t>AUD</t>
        </is>
      </c>
      <c r="E159" t="inlineStr">
        <is>
          <t>ASX</t>
        </is>
      </c>
    </row>
    <row r="160">
      <c r="B160" t="inlineStr">
        <is>
          <t>DFGH</t>
        </is>
      </c>
      <c r="C160" t="inlineStr">
        <is>
          <t>Dimensional Global Core Equity Trust Aud Hedged - Active ETF</t>
        </is>
      </c>
      <c r="D160" t="inlineStr">
        <is>
          <t>AUD</t>
        </is>
      </c>
      <c r="E160" t="inlineStr">
        <is>
          <t>ASX</t>
        </is>
      </c>
    </row>
    <row r="161">
      <c r="B161" t="inlineStr">
        <is>
          <t>CMM</t>
        </is>
      </c>
      <c r="C161" t="inlineStr">
        <is>
          <t>Capricorn Metals Ltd</t>
        </is>
      </c>
      <c r="D161" t="inlineStr">
        <is>
          <t>AUD</t>
        </is>
      </c>
      <c r="E161" t="inlineStr">
        <is>
          <t>ASX</t>
        </is>
      </c>
    </row>
    <row r="162">
      <c r="B162" t="inlineStr">
        <is>
          <t>VAP</t>
        </is>
      </c>
      <c r="C162" t="inlineStr">
        <is>
          <t>Vanguard Australian Property Securities INDEX ETF</t>
        </is>
      </c>
      <c r="D162" t="inlineStr">
        <is>
          <t>AUD</t>
        </is>
      </c>
      <c r="E162" t="inlineStr">
        <is>
          <t>ASX</t>
        </is>
      </c>
    </row>
    <row r="163">
      <c r="B163" t="inlineStr">
        <is>
          <t>IFL</t>
        </is>
      </c>
      <c r="C163" t="inlineStr">
        <is>
          <t>Insignia Financial Ltd</t>
        </is>
      </c>
      <c r="D163" t="inlineStr">
        <is>
          <t>AUD</t>
        </is>
      </c>
      <c r="E163" t="inlineStr">
        <is>
          <t>ASX</t>
        </is>
      </c>
    </row>
    <row r="164">
      <c r="B164" t="inlineStr">
        <is>
          <t>CIA</t>
        </is>
      </c>
      <c r="C164" t="inlineStr">
        <is>
          <t>Champion Iron Ltd</t>
        </is>
      </c>
      <c r="D164" t="inlineStr">
        <is>
          <t>AUD</t>
        </is>
      </c>
      <c r="E164" t="inlineStr">
        <is>
          <t>ASX</t>
        </is>
      </c>
    </row>
    <row r="165">
      <c r="B165" t="inlineStr">
        <is>
          <t>TUA</t>
        </is>
      </c>
      <c r="C165" t="inlineStr">
        <is>
          <t>Tuas Ltd</t>
        </is>
      </c>
      <c r="D165" t="inlineStr">
        <is>
          <t>AUD</t>
        </is>
      </c>
      <c r="E165" t="inlineStr">
        <is>
          <t>ASX</t>
        </is>
      </c>
    </row>
    <row r="166">
      <c r="B166" t="inlineStr">
        <is>
          <t>CDA</t>
        </is>
      </c>
      <c r="C166" t="inlineStr">
        <is>
          <t>Codan Ltd</t>
        </is>
      </c>
      <c r="D166" t="inlineStr">
        <is>
          <t>AUD</t>
        </is>
      </c>
      <c r="E166" t="inlineStr">
        <is>
          <t>ASX</t>
        </is>
      </c>
    </row>
    <row r="167">
      <c r="B167" t="inlineStr">
        <is>
          <t>FBU</t>
        </is>
      </c>
      <c r="C167" t="inlineStr">
        <is>
          <t>Fletcher Building Ltd</t>
        </is>
      </c>
      <c r="D167" t="inlineStr">
        <is>
          <t>AUD</t>
        </is>
      </c>
      <c r="E167" t="inlineStr">
        <is>
          <t>ASX</t>
        </is>
      </c>
    </row>
    <row r="168">
      <c r="B168" t="inlineStr">
        <is>
          <t>VDHG</t>
        </is>
      </c>
      <c r="C168" t="inlineStr">
        <is>
          <t>Vanguard Diversified High Growth INDEX ETF</t>
        </is>
      </c>
      <c r="D168" t="inlineStr">
        <is>
          <t>AUD</t>
        </is>
      </c>
      <c r="E168" t="inlineStr">
        <is>
          <t>ASX</t>
        </is>
      </c>
    </row>
    <row r="169">
      <c r="B169" t="inlineStr">
        <is>
          <t>DMP</t>
        </is>
      </c>
      <c r="C169" t="inlineStr">
        <is>
          <t>Domino's PIZZA Enterprises Ltd</t>
        </is>
      </c>
      <c r="D169" t="inlineStr">
        <is>
          <t>AUD</t>
        </is>
      </c>
      <c r="E169" t="inlineStr">
        <is>
          <t>ASX</t>
        </is>
      </c>
    </row>
    <row r="170">
      <c r="B170" t="inlineStr">
        <is>
          <t>IAF</t>
        </is>
      </c>
      <c r="C170" t="inlineStr">
        <is>
          <t>Ishares Core Composite Bond ETF</t>
        </is>
      </c>
      <c r="D170" t="inlineStr">
        <is>
          <t>AUD</t>
        </is>
      </c>
      <c r="E170" t="inlineStr">
        <is>
          <t>ASX</t>
        </is>
      </c>
    </row>
    <row r="171">
      <c r="B171" t="inlineStr">
        <is>
          <t>MFF</t>
        </is>
      </c>
      <c r="C171" t="inlineStr">
        <is>
          <t>MFF Capital Investments Ltd</t>
        </is>
      </c>
      <c r="D171" t="inlineStr">
        <is>
          <t>AUD</t>
        </is>
      </c>
      <c r="E171" t="inlineStr">
        <is>
          <t>ASX</t>
        </is>
      </c>
    </row>
    <row r="172">
      <c r="B172" t="inlineStr">
        <is>
          <t>SNZ</t>
        </is>
      </c>
      <c r="C172" t="inlineStr">
        <is>
          <t>Summerset Group Holdings Ltd</t>
        </is>
      </c>
      <c r="D172" t="inlineStr">
        <is>
          <t>AUD</t>
        </is>
      </c>
      <c r="E172" t="inlineStr">
        <is>
          <t>ASX</t>
        </is>
      </c>
    </row>
    <row r="173">
      <c r="B173" t="inlineStr">
        <is>
          <t>CLW</t>
        </is>
      </c>
      <c r="C173" t="inlineStr">
        <is>
          <t>Charter Hall Long Wale REIT</t>
        </is>
      </c>
      <c r="D173" t="inlineStr">
        <is>
          <t>AUD</t>
        </is>
      </c>
      <c r="E173" t="inlineStr">
        <is>
          <t>ASX</t>
        </is>
      </c>
    </row>
    <row r="174">
      <c r="B174" t="inlineStr">
        <is>
          <t>RMS</t>
        </is>
      </c>
      <c r="C174" t="inlineStr">
        <is>
          <t>Ramelius Resources Ltd</t>
        </is>
      </c>
      <c r="D174" t="inlineStr">
        <is>
          <t>AUD</t>
        </is>
      </c>
      <c r="E174" t="inlineStr">
        <is>
          <t>ASX</t>
        </is>
      </c>
    </row>
    <row r="175">
      <c r="B175" t="inlineStr">
        <is>
          <t>GOR</t>
        </is>
      </c>
      <c r="C175" t="inlineStr">
        <is>
          <t>Gold Road Resources Ltd</t>
        </is>
      </c>
      <c r="D175" t="inlineStr">
        <is>
          <t>AUD</t>
        </is>
      </c>
      <c r="E175" t="inlineStr">
        <is>
          <t>ASX</t>
        </is>
      </c>
    </row>
    <row r="176">
      <c r="B176" t="inlineStr">
        <is>
          <t>NHF</t>
        </is>
      </c>
      <c r="C176" t="inlineStr">
        <is>
          <t>Nib Holdings Ltd</t>
        </is>
      </c>
      <c r="D176" t="inlineStr">
        <is>
          <t>AUD</t>
        </is>
      </c>
      <c r="E176" t="inlineStr">
        <is>
          <t>ASX</t>
        </is>
      </c>
    </row>
    <row r="177">
      <c r="B177" t="inlineStr">
        <is>
          <t>MVW</t>
        </is>
      </c>
      <c r="C177" t="inlineStr">
        <is>
          <t>Vaneck Australian EQUAL Weight ETF</t>
        </is>
      </c>
      <c r="D177" t="inlineStr">
        <is>
          <t>AUD</t>
        </is>
      </c>
      <c r="E177" t="inlineStr">
        <is>
          <t>ASX</t>
        </is>
      </c>
    </row>
    <row r="178">
      <c r="B178" t="inlineStr">
        <is>
          <t>DGT</t>
        </is>
      </c>
      <c r="C178" t="inlineStr">
        <is>
          <t>Digico Infrastructure REIT</t>
        </is>
      </c>
      <c r="D178" t="inlineStr">
        <is>
          <t>AUD</t>
        </is>
      </c>
      <c r="E178" t="inlineStr">
        <is>
          <t>ASX</t>
        </is>
      </c>
    </row>
    <row r="179">
      <c r="B179" t="inlineStr">
        <is>
          <t>SMR</t>
        </is>
      </c>
      <c r="C179" t="inlineStr">
        <is>
          <t>Stanmore Resources Ltd</t>
        </is>
      </c>
      <c r="D179" t="inlineStr">
        <is>
          <t>AUD</t>
        </is>
      </c>
      <c r="E179" t="inlineStr">
        <is>
          <t>ASX</t>
        </is>
      </c>
    </row>
    <row r="180">
      <c r="B180" t="inlineStr">
        <is>
          <t>SGM</t>
        </is>
      </c>
      <c r="C180" t="inlineStr">
        <is>
          <t>Sims Ltd</t>
        </is>
      </c>
      <c r="D180" t="inlineStr">
        <is>
          <t>AUD</t>
        </is>
      </c>
      <c r="E180" t="inlineStr">
        <is>
          <t>ASX</t>
        </is>
      </c>
    </row>
    <row r="181">
      <c r="B181" t="inlineStr">
        <is>
          <t>RGN</t>
        </is>
      </c>
      <c r="C181" t="inlineStr">
        <is>
          <t>Region Group</t>
        </is>
      </c>
      <c r="D181" t="inlineStr">
        <is>
          <t>AUD</t>
        </is>
      </c>
      <c r="E181" t="inlineStr">
        <is>
          <t>ASX</t>
        </is>
      </c>
    </row>
    <row r="182">
      <c r="B182" t="inlineStr">
        <is>
          <t>NABPH</t>
        </is>
      </c>
      <c r="C182" t="inlineStr">
        <is>
          <t>National Australia Bank Ltd</t>
        </is>
      </c>
      <c r="D182" t="inlineStr">
        <is>
          <t>AUD</t>
        </is>
      </c>
      <c r="E182" t="inlineStr">
        <is>
          <t>ASX</t>
        </is>
      </c>
    </row>
    <row r="183">
      <c r="B183" t="inlineStr">
        <is>
          <t>VAU</t>
        </is>
      </c>
      <c r="C183" t="inlineStr">
        <is>
          <t>Vault Minerals Ltd</t>
        </is>
      </c>
      <c r="D183" t="inlineStr">
        <is>
          <t>AUD</t>
        </is>
      </c>
      <c r="E183" t="inlineStr">
        <is>
          <t>ASX</t>
        </is>
      </c>
    </row>
    <row r="184">
      <c r="B184" t="inlineStr">
        <is>
          <t>EMR</t>
        </is>
      </c>
      <c r="C184" t="inlineStr">
        <is>
          <t>Emerald Resources NL</t>
        </is>
      </c>
      <c r="D184" t="inlineStr">
        <is>
          <t>AUD</t>
        </is>
      </c>
      <c r="E184" t="inlineStr">
        <is>
          <t>ASX</t>
        </is>
      </c>
    </row>
    <row r="185">
      <c r="B185" t="inlineStr">
        <is>
          <t>WGX</t>
        </is>
      </c>
      <c r="C185" t="inlineStr">
        <is>
          <t>Westgold Resources Ltd</t>
        </is>
      </c>
      <c r="D185" t="inlineStr">
        <is>
          <t>AUD</t>
        </is>
      </c>
      <c r="E185" t="inlineStr">
        <is>
          <t>ASX</t>
        </is>
      </c>
    </row>
    <row r="186">
      <c r="B186" t="inlineStr">
        <is>
          <t>HDN</t>
        </is>
      </c>
      <c r="C186" t="inlineStr">
        <is>
          <t>Homeco Daily Needs REIT</t>
        </is>
      </c>
      <c r="D186" t="inlineStr">
        <is>
          <t>AUD</t>
        </is>
      </c>
      <c r="E186" t="inlineStr">
        <is>
          <t>ASX</t>
        </is>
      </c>
    </row>
    <row r="187">
      <c r="B187" t="inlineStr">
        <is>
          <t>PPT</t>
        </is>
      </c>
      <c r="C187" t="inlineStr">
        <is>
          <t>Perpetual Ltd</t>
        </is>
      </c>
      <c r="D187" t="inlineStr">
        <is>
          <t>AUD</t>
        </is>
      </c>
      <c r="E187" t="inlineStr">
        <is>
          <t>ASX</t>
        </is>
      </c>
    </row>
    <row r="188">
      <c r="B188" t="inlineStr">
        <is>
          <t>BWP</t>
        </is>
      </c>
      <c r="C188" t="inlineStr">
        <is>
          <t>BWP Trust</t>
        </is>
      </c>
      <c r="D188" t="inlineStr">
        <is>
          <t>AUD</t>
        </is>
      </c>
      <c r="E188" t="inlineStr">
        <is>
          <t>ASX</t>
        </is>
      </c>
    </row>
    <row r="189">
      <c r="B189" t="inlineStr">
        <is>
          <t>HBRD</t>
        </is>
      </c>
      <c r="C189" t="inlineStr">
        <is>
          <t>Betashares Active Australian Hybrids Fund (Managed Fund)</t>
        </is>
      </c>
      <c r="D189" t="inlineStr">
        <is>
          <t>AUD</t>
        </is>
      </c>
      <c r="E189" t="inlineStr">
        <is>
          <t>ASX</t>
        </is>
      </c>
    </row>
    <row r="190">
      <c r="B190" t="inlineStr">
        <is>
          <t>PXA</t>
        </is>
      </c>
      <c r="C190" t="inlineStr">
        <is>
          <t>Pexa Group Ltd</t>
        </is>
      </c>
      <c r="D190" t="inlineStr">
        <is>
          <t>AUD</t>
        </is>
      </c>
      <c r="E190" t="inlineStr">
        <is>
          <t>ASX</t>
        </is>
      </c>
    </row>
    <row r="191">
      <c r="B191" t="inlineStr">
        <is>
          <t>VAF</t>
        </is>
      </c>
      <c r="C191" t="inlineStr">
        <is>
          <t>Vanguard Australian Fixed Interest INDEX ETF</t>
        </is>
      </c>
      <c r="D191" t="inlineStr">
        <is>
          <t>AUD</t>
        </is>
      </c>
      <c r="E191" t="inlineStr">
        <is>
          <t>ASX</t>
        </is>
      </c>
    </row>
    <row r="192">
      <c r="B192" t="inlineStr">
        <is>
          <t>RRL</t>
        </is>
      </c>
      <c r="C192" t="inlineStr">
        <is>
          <t>Regis Resources Ltd</t>
        </is>
      </c>
      <c r="D192" t="inlineStr">
        <is>
          <t>AUD</t>
        </is>
      </c>
      <c r="E192" t="inlineStr">
        <is>
          <t>ASX</t>
        </is>
      </c>
    </row>
    <row r="193">
      <c r="B193" t="inlineStr">
        <is>
          <t>CEN</t>
        </is>
      </c>
      <c r="C193" t="inlineStr">
        <is>
          <t>Contact Energy Ltd</t>
        </is>
      </c>
      <c r="D193" t="inlineStr">
        <is>
          <t>AUD</t>
        </is>
      </c>
      <c r="E193" t="inlineStr">
        <is>
          <t>ASX</t>
        </is>
      </c>
    </row>
    <row r="194">
      <c r="B194" t="inlineStr">
        <is>
          <t>LTM</t>
        </is>
      </c>
      <c r="C194" t="inlineStr">
        <is>
          <t>Arcadium Lithium Plc</t>
        </is>
      </c>
      <c r="D194" t="inlineStr">
        <is>
          <t>AUD</t>
        </is>
      </c>
      <c r="E194" t="inlineStr">
        <is>
          <t>ASX</t>
        </is>
      </c>
    </row>
    <row r="195">
      <c r="B195" t="inlineStr">
        <is>
          <t>INA</t>
        </is>
      </c>
      <c r="C195" t="inlineStr">
        <is>
          <t>Ingenia Communities Group</t>
        </is>
      </c>
      <c r="D195" t="inlineStr">
        <is>
          <t>AUD</t>
        </is>
      </c>
      <c r="E195" t="inlineStr">
        <is>
          <t>ASX</t>
        </is>
      </c>
    </row>
    <row r="196">
      <c r="B196" t="inlineStr">
        <is>
          <t>GNE</t>
        </is>
      </c>
      <c r="C196" t="inlineStr">
        <is>
          <t>Genesis Energy Ltd</t>
        </is>
      </c>
      <c r="D196" t="inlineStr">
        <is>
          <t>AUD</t>
        </is>
      </c>
      <c r="E196" t="inlineStr">
        <is>
          <t>ASX</t>
        </is>
      </c>
    </row>
    <row r="197">
      <c r="B197" t="inlineStr">
        <is>
          <t>RDX</t>
        </is>
      </c>
      <c r="C197" t="inlineStr">
        <is>
          <t>REDOX Ltd</t>
        </is>
      </c>
      <c r="D197" t="inlineStr">
        <is>
          <t>AUD</t>
        </is>
      </c>
      <c r="E197" t="inlineStr">
        <is>
          <t>ASX</t>
        </is>
      </c>
    </row>
    <row r="198">
      <c r="B198" t="inlineStr">
        <is>
          <t>MXT</t>
        </is>
      </c>
      <c r="C198" t="inlineStr">
        <is>
          <t>Metrics Master Income Trust</t>
        </is>
      </c>
      <c r="D198" t="inlineStr">
        <is>
          <t>AUD</t>
        </is>
      </c>
      <c r="E198" t="inlineStr">
        <is>
          <t>ASX</t>
        </is>
      </c>
    </row>
    <row r="199">
      <c r="B199" t="inlineStr">
        <is>
          <t>MAQ</t>
        </is>
      </c>
      <c r="C199" t="inlineStr">
        <is>
          <t>Macquarie Technology Group Ltd</t>
        </is>
      </c>
      <c r="D199" t="inlineStr">
        <is>
          <t>AUD</t>
        </is>
      </c>
      <c r="E199" t="inlineStr">
        <is>
          <t>ASX</t>
        </is>
      </c>
    </row>
    <row r="200">
      <c r="B200" t="inlineStr">
        <is>
          <t>JDO</t>
        </is>
      </c>
      <c r="C200" t="inlineStr">
        <is>
          <t>Judo Capital Holdings Ltd</t>
        </is>
      </c>
      <c r="D200" t="inlineStr">
        <is>
          <t>AUD</t>
        </is>
      </c>
      <c r="E200" t="inlineStr">
        <is>
          <t>ASX</t>
        </is>
      </c>
    </row>
    <row r="201">
      <c r="B201" t="inlineStr">
        <is>
          <t>MFG</t>
        </is>
      </c>
      <c r="C201" t="inlineStr">
        <is>
          <t>Magellan Financial Group Ltd</t>
        </is>
      </c>
      <c r="D201" t="inlineStr">
        <is>
          <t>AUD</t>
        </is>
      </c>
      <c r="E201" t="inlineStr">
        <is>
          <t>ASX</t>
        </is>
      </c>
    </row>
    <row r="202">
      <c r="B202" t="inlineStr">
        <is>
          <t>CTD</t>
        </is>
      </c>
      <c r="C202" t="inlineStr">
        <is>
          <t>Corporate Travel Management Ltd</t>
        </is>
      </c>
      <c r="D202" t="inlineStr">
        <is>
          <t>AUD</t>
        </is>
      </c>
      <c r="E202" t="inlineStr">
        <is>
          <t>ASX</t>
        </is>
      </c>
    </row>
    <row r="203">
      <c r="B203" t="inlineStr">
        <is>
          <t>VBND</t>
        </is>
      </c>
      <c r="C203" t="inlineStr">
        <is>
          <t>Vanguard Global Aggregate Bond INDEX (Hedged) ETF</t>
        </is>
      </c>
      <c r="D203" t="inlineStr">
        <is>
          <t>AUD</t>
        </is>
      </c>
      <c r="E203" t="inlineStr">
        <is>
          <t>ASX</t>
        </is>
      </c>
    </row>
    <row r="204">
      <c r="B204" t="inlineStr">
        <is>
          <t>IHVV</t>
        </is>
      </c>
      <c r="C204" t="inlineStr">
        <is>
          <t>Ishares S&amp;P 500 Aud Hedged ETF</t>
        </is>
      </c>
      <c r="D204" t="inlineStr">
        <is>
          <t>AUD</t>
        </is>
      </c>
      <c r="E204" t="inlineStr">
        <is>
          <t>ASX</t>
        </is>
      </c>
    </row>
    <row r="205">
      <c r="B205" t="inlineStr">
        <is>
          <t>SUBD</t>
        </is>
      </c>
      <c r="C205" t="inlineStr">
        <is>
          <t>Vaneck Australian Subordinated Debt ETF</t>
        </is>
      </c>
      <c r="D205" t="inlineStr">
        <is>
          <t>AUD</t>
        </is>
      </c>
      <c r="E205" t="inlineStr">
        <is>
          <t>ASX</t>
        </is>
      </c>
    </row>
    <row r="206">
      <c r="B206" t="inlineStr">
        <is>
          <t>NEC</t>
        </is>
      </c>
      <c r="C206" t="inlineStr">
        <is>
          <t>Nine Entertainment Co. Holdings Ltd</t>
        </is>
      </c>
      <c r="D206" t="inlineStr">
        <is>
          <t>AUD</t>
        </is>
      </c>
      <c r="E206" t="inlineStr">
        <is>
          <t>ASX</t>
        </is>
      </c>
    </row>
    <row r="207">
      <c r="B207" t="inlineStr">
        <is>
          <t>DRR</t>
        </is>
      </c>
      <c r="C207" t="inlineStr">
        <is>
          <t>Deterra Royalties Ltd</t>
        </is>
      </c>
      <c r="D207" t="inlineStr">
        <is>
          <t>AUD</t>
        </is>
      </c>
      <c r="E207" t="inlineStr">
        <is>
          <t>ASX</t>
        </is>
      </c>
    </row>
    <row r="208">
      <c r="B208" t="inlineStr">
        <is>
          <t>NABPI</t>
        </is>
      </c>
      <c r="C208" t="inlineStr">
        <is>
          <t>National Australia Bank Ltd</t>
        </is>
      </c>
      <c r="D208" t="inlineStr">
        <is>
          <t>AUD</t>
        </is>
      </c>
      <c r="E208" t="inlineStr">
        <is>
          <t>ASX</t>
        </is>
      </c>
    </row>
    <row r="209">
      <c r="B209" t="inlineStr">
        <is>
          <t>ILU</t>
        </is>
      </c>
      <c r="C209" t="inlineStr">
        <is>
          <t>Iluka Resources Ltd</t>
        </is>
      </c>
      <c r="D209" t="inlineStr">
        <is>
          <t>AUD</t>
        </is>
      </c>
      <c r="E209" t="inlineStr">
        <is>
          <t>ASX</t>
        </is>
      </c>
    </row>
    <row r="210">
      <c r="B210" t="inlineStr">
        <is>
          <t>NABPF</t>
        </is>
      </c>
      <c r="C210" t="inlineStr">
        <is>
          <t>National Australia Bank Ltd</t>
        </is>
      </c>
      <c r="D210" t="inlineStr">
        <is>
          <t>AUD</t>
        </is>
      </c>
      <c r="E210" t="inlineStr">
        <is>
          <t>ASX</t>
        </is>
      </c>
    </row>
    <row r="211">
      <c r="B211" t="inlineStr">
        <is>
          <t>REG</t>
        </is>
      </c>
      <c r="C211" t="inlineStr">
        <is>
          <t>Regis Healthcare Ltd</t>
        </is>
      </c>
      <c r="D211" t="inlineStr">
        <is>
          <t>AUD</t>
        </is>
      </c>
      <c r="E211" t="inlineStr">
        <is>
          <t>ASX</t>
        </is>
      </c>
    </row>
    <row r="212">
      <c r="B212" t="inlineStr">
        <is>
          <t>WEB</t>
        </is>
      </c>
      <c r="C212" t="inlineStr">
        <is>
          <t>WEB Travel Group Ltd</t>
        </is>
      </c>
      <c r="D212" t="inlineStr">
        <is>
          <t>AUD</t>
        </is>
      </c>
      <c r="E212" t="inlineStr">
        <is>
          <t>ASX</t>
        </is>
      </c>
    </row>
    <row r="213">
      <c r="B213" t="inlineStr">
        <is>
          <t>NEU</t>
        </is>
      </c>
      <c r="C213" t="inlineStr">
        <is>
          <t>Neuren Pharmaceuticals Ltd</t>
        </is>
      </c>
      <c r="D213" t="inlineStr">
        <is>
          <t>AUD</t>
        </is>
      </c>
      <c r="E213" t="inlineStr">
        <is>
          <t>ASX</t>
        </is>
      </c>
    </row>
    <row r="214">
      <c r="B214" t="inlineStr">
        <is>
          <t>EVT</t>
        </is>
      </c>
      <c r="C214" t="inlineStr">
        <is>
          <t>EVT Ltd</t>
        </is>
      </c>
      <c r="D214" t="inlineStr">
        <is>
          <t>AUD</t>
        </is>
      </c>
      <c r="E214" t="inlineStr">
        <is>
          <t>ASX</t>
        </is>
      </c>
    </row>
    <row r="215">
      <c r="B215" t="inlineStr">
        <is>
          <t>AIZ</t>
        </is>
      </c>
      <c r="C215" t="inlineStr">
        <is>
          <t>Air New Zealand Ltd</t>
        </is>
      </c>
      <c r="D215" t="inlineStr">
        <is>
          <t>AUD</t>
        </is>
      </c>
      <c r="E215" t="inlineStr">
        <is>
          <t>ASX</t>
        </is>
      </c>
    </row>
    <row r="216">
      <c r="B216" t="inlineStr">
        <is>
          <t>WBCPM</t>
        </is>
      </c>
      <c r="C216" t="inlineStr">
        <is>
          <t>Westpac Banking Corporation</t>
        </is>
      </c>
      <c r="D216" t="inlineStr">
        <is>
          <t>AUD</t>
        </is>
      </c>
      <c r="E216" t="inlineStr">
        <is>
          <t>ASX</t>
        </is>
      </c>
    </row>
    <row r="217">
      <c r="B217" t="inlineStr">
        <is>
          <t>WAF</t>
        </is>
      </c>
      <c r="C217" t="inlineStr">
        <is>
          <t>West African Resources Ltd</t>
        </is>
      </c>
      <c r="D217" t="inlineStr">
        <is>
          <t>AUD</t>
        </is>
      </c>
      <c r="E217" t="inlineStr">
        <is>
          <t>ASX</t>
        </is>
      </c>
    </row>
    <row r="218">
      <c r="B218" t="inlineStr">
        <is>
          <t>SPR</t>
        </is>
      </c>
      <c r="C218" t="inlineStr">
        <is>
          <t>Spartan Resources Ltd</t>
        </is>
      </c>
      <c r="D218" t="inlineStr">
        <is>
          <t>AUD</t>
        </is>
      </c>
      <c r="E218" t="inlineStr">
        <is>
          <t>ASX</t>
        </is>
      </c>
    </row>
    <row r="219">
      <c r="B219" t="inlineStr">
        <is>
          <t>DBI</t>
        </is>
      </c>
      <c r="C219" t="inlineStr">
        <is>
          <t>Dalrymple Bay Infrastructure Ltd</t>
        </is>
      </c>
      <c r="D219" t="inlineStr">
        <is>
          <t>AUD</t>
        </is>
      </c>
      <c r="E219" t="inlineStr">
        <is>
          <t>ASX</t>
        </is>
      </c>
    </row>
    <row r="220">
      <c r="B220" t="inlineStr">
        <is>
          <t>CIP</t>
        </is>
      </c>
      <c r="C220" t="inlineStr">
        <is>
          <t>Centuria Industrial REIT</t>
        </is>
      </c>
      <c r="D220" t="inlineStr">
        <is>
          <t>AUD</t>
        </is>
      </c>
      <c r="E220" t="inlineStr">
        <is>
          <t>ASX</t>
        </is>
      </c>
    </row>
    <row r="221">
      <c r="B221" t="inlineStr">
        <is>
          <t>CBAPL</t>
        </is>
      </c>
      <c r="C221" t="inlineStr">
        <is>
          <t>Commonwealth Bank of Australia</t>
        </is>
      </c>
      <c r="D221" t="inlineStr">
        <is>
          <t>AUD</t>
        </is>
      </c>
      <c r="E221" t="inlineStr">
        <is>
          <t>ASX</t>
        </is>
      </c>
    </row>
    <row r="222">
      <c r="B222" t="inlineStr">
        <is>
          <t>CQR</t>
        </is>
      </c>
      <c r="C222" t="inlineStr">
        <is>
          <t>Charter Hall Retail REIT</t>
        </is>
      </c>
      <c r="D222" t="inlineStr">
        <is>
          <t>AUD</t>
        </is>
      </c>
      <c r="E222" t="inlineStr">
        <is>
          <t>ASX</t>
        </is>
      </c>
    </row>
    <row r="223">
      <c r="B223" t="inlineStr">
        <is>
          <t>WBCPK</t>
        </is>
      </c>
      <c r="C223" t="inlineStr">
        <is>
          <t>Westpac Banking Corporation</t>
        </is>
      </c>
      <c r="D223" t="inlineStr">
        <is>
          <t>AUD</t>
        </is>
      </c>
      <c r="E223" t="inlineStr">
        <is>
          <t>ASX</t>
        </is>
      </c>
    </row>
    <row r="224">
      <c r="B224" t="inlineStr">
        <is>
          <t>CBAPK</t>
        </is>
      </c>
      <c r="C224" t="inlineStr">
        <is>
          <t>Commonwealth Bank of Australia</t>
        </is>
      </c>
      <c r="D224" t="inlineStr">
        <is>
          <t>AUD</t>
        </is>
      </c>
      <c r="E224" t="inlineStr">
        <is>
          <t>ASX</t>
        </is>
      </c>
    </row>
    <row r="225">
      <c r="B225" t="inlineStr">
        <is>
          <t>LSF</t>
        </is>
      </c>
      <c r="C225" t="inlineStr">
        <is>
          <t>L1 Long Short Fund Ltd</t>
        </is>
      </c>
      <c r="D225" t="inlineStr">
        <is>
          <t>AUD</t>
        </is>
      </c>
      <c r="E225" t="inlineStr">
        <is>
          <t>ASX</t>
        </is>
      </c>
    </row>
    <row r="226">
      <c r="B226" t="inlineStr">
        <is>
          <t>WBCPJ</t>
        </is>
      </c>
      <c r="C226" t="inlineStr">
        <is>
          <t>Westpac Banking Corporation</t>
        </is>
      </c>
      <c r="D226" t="inlineStr">
        <is>
          <t>AUD</t>
        </is>
      </c>
      <c r="E226" t="inlineStr">
        <is>
          <t>ASX</t>
        </is>
      </c>
    </row>
    <row r="227">
      <c r="B227" t="inlineStr">
        <is>
          <t>NXL</t>
        </is>
      </c>
      <c r="C227" t="inlineStr">
        <is>
          <t>NUIX Ltd</t>
        </is>
      </c>
      <c r="D227" t="inlineStr">
        <is>
          <t>AUD</t>
        </is>
      </c>
      <c r="E227" t="inlineStr">
        <is>
          <t>ASX</t>
        </is>
      </c>
    </row>
    <row r="228">
      <c r="B228" t="inlineStr">
        <is>
          <t>AN3PL</t>
        </is>
      </c>
      <c r="C228" t="inlineStr">
        <is>
          <t>Australia and New Zealand Banking Group Ltd</t>
        </is>
      </c>
      <c r="D228" t="inlineStr">
        <is>
          <t>AUD</t>
        </is>
      </c>
      <c r="E228" t="inlineStr">
        <is>
          <t>ASX</t>
        </is>
      </c>
    </row>
    <row r="229">
      <c r="B229" t="inlineStr">
        <is>
          <t>WAM</t>
        </is>
      </c>
      <c r="C229" t="inlineStr">
        <is>
          <t>WAM Capital Ltd</t>
        </is>
      </c>
      <c r="D229" t="inlineStr">
        <is>
          <t>AUD</t>
        </is>
      </c>
      <c r="E229" t="inlineStr">
        <is>
          <t>ASX</t>
        </is>
      </c>
    </row>
    <row r="230">
      <c r="B230" t="inlineStr">
        <is>
          <t>GOZ</t>
        </is>
      </c>
      <c r="C230" t="inlineStr">
        <is>
          <t>Growthpoint Properties Australia</t>
        </is>
      </c>
      <c r="D230" t="inlineStr">
        <is>
          <t>AUD</t>
        </is>
      </c>
      <c r="E230" t="inlineStr">
        <is>
          <t>ASX</t>
        </is>
      </c>
    </row>
    <row r="231">
      <c r="B231" t="inlineStr">
        <is>
          <t>IRE</t>
        </is>
      </c>
      <c r="C231" t="inlineStr">
        <is>
          <t>Iress Ltd</t>
        </is>
      </c>
      <c r="D231" t="inlineStr">
        <is>
          <t>AUD</t>
        </is>
      </c>
      <c r="E231" t="inlineStr">
        <is>
          <t>ASX</t>
        </is>
      </c>
    </row>
    <row r="232">
      <c r="B232" t="inlineStr">
        <is>
          <t>BGA</t>
        </is>
      </c>
      <c r="C232" t="inlineStr">
        <is>
          <t>Bega Cheese Ltd</t>
        </is>
      </c>
      <c r="D232" t="inlineStr">
        <is>
          <t>AUD</t>
        </is>
      </c>
      <c r="E232" t="inlineStr">
        <is>
          <t>ASX</t>
        </is>
      </c>
    </row>
    <row r="233">
      <c r="B233" t="inlineStr">
        <is>
          <t>WLE</t>
        </is>
      </c>
      <c r="C233" t="inlineStr">
        <is>
          <t>Wam Leaders Ltd</t>
        </is>
      </c>
      <c r="D233" t="inlineStr">
        <is>
          <t>AUD</t>
        </is>
      </c>
      <c r="E233" t="inlineStr">
        <is>
          <t>ASX</t>
        </is>
      </c>
    </row>
    <row r="234">
      <c r="B234" t="inlineStr">
        <is>
          <t>WBCPH</t>
        </is>
      </c>
      <c r="C234" t="inlineStr">
        <is>
          <t>Westpac Banking Corporation</t>
        </is>
      </c>
      <c r="D234" t="inlineStr">
        <is>
          <t>AUD</t>
        </is>
      </c>
      <c r="E234" t="inlineStr">
        <is>
          <t>ASX</t>
        </is>
      </c>
    </row>
    <row r="235">
      <c r="B235" t="inlineStr">
        <is>
          <t>CBAPI</t>
        </is>
      </c>
      <c r="C235" t="inlineStr">
        <is>
          <t>Commonwealth Bank of Australia</t>
        </is>
      </c>
      <c r="D235" t="inlineStr">
        <is>
          <t>AUD</t>
        </is>
      </c>
      <c r="E235" t="inlineStr">
        <is>
          <t>ASX</t>
        </is>
      </c>
    </row>
    <row r="236">
      <c r="B236" t="inlineStr">
        <is>
          <t>DHG</t>
        </is>
      </c>
      <c r="C236" t="inlineStr">
        <is>
          <t>Domain Holdings Australia Ltd</t>
        </is>
      </c>
      <c r="D236" t="inlineStr">
        <is>
          <t>AUD</t>
        </is>
      </c>
      <c r="E236" t="inlineStr">
        <is>
          <t>ASX</t>
        </is>
      </c>
    </row>
    <row r="237">
      <c r="B237" t="inlineStr">
        <is>
          <t>TPW</t>
        </is>
      </c>
      <c r="C237" t="inlineStr">
        <is>
          <t>Temple &amp; Webster Group Ltd</t>
        </is>
      </c>
      <c r="D237" t="inlineStr">
        <is>
          <t>AUD</t>
        </is>
      </c>
      <c r="E237" t="inlineStr">
        <is>
          <t>ASX</t>
        </is>
      </c>
    </row>
    <row r="238">
      <c r="B238" t="inlineStr">
        <is>
          <t>BGBL</t>
        </is>
      </c>
      <c r="C238" t="inlineStr">
        <is>
          <t>Betashares Global Shares ETF</t>
        </is>
      </c>
      <c r="D238" t="inlineStr">
        <is>
          <t>AUD</t>
        </is>
      </c>
      <c r="E238" t="inlineStr">
        <is>
          <t>ASX</t>
        </is>
      </c>
    </row>
    <row r="239">
      <c r="B239" t="inlineStr">
        <is>
          <t>SDR</t>
        </is>
      </c>
      <c r="C239" t="inlineStr">
        <is>
          <t>Siteminder Ltd</t>
        </is>
      </c>
      <c r="D239" t="inlineStr">
        <is>
          <t>AUD</t>
        </is>
      </c>
      <c r="E239" t="inlineStr">
        <is>
          <t>ASX</t>
        </is>
      </c>
    </row>
    <row r="240">
      <c r="B240" t="inlineStr">
        <is>
          <t>GNC</t>
        </is>
      </c>
      <c r="C240" t="inlineStr">
        <is>
          <t>Graincorp Ltd</t>
        </is>
      </c>
      <c r="D240" t="inlineStr">
        <is>
          <t>AUD</t>
        </is>
      </c>
      <c r="E240" t="inlineStr">
        <is>
          <t>ASX</t>
        </is>
      </c>
    </row>
    <row r="241">
      <c r="B241" t="inlineStr">
        <is>
          <t>CBAPM</t>
        </is>
      </c>
      <c r="C241" t="inlineStr">
        <is>
          <t>Commonwealth Bank of Australia</t>
        </is>
      </c>
      <c r="D241" t="inlineStr">
        <is>
          <t>AUD</t>
        </is>
      </c>
      <c r="E241" t="inlineStr">
        <is>
          <t>ASX</t>
        </is>
      </c>
    </row>
    <row r="242">
      <c r="B242" t="inlineStr">
        <is>
          <t>LTR</t>
        </is>
      </c>
      <c r="C242" t="inlineStr">
        <is>
          <t>Liontown Resources Ltd</t>
        </is>
      </c>
      <c r="D242" t="inlineStr">
        <is>
          <t>AUD</t>
        </is>
      </c>
      <c r="E242" t="inlineStr">
        <is>
          <t>ASX</t>
        </is>
      </c>
    </row>
    <row r="243">
      <c r="B243" t="inlineStr">
        <is>
          <t>BAP</t>
        </is>
      </c>
      <c r="C243" t="inlineStr">
        <is>
          <t>Bapcor Ltd</t>
        </is>
      </c>
      <c r="D243" t="inlineStr">
        <is>
          <t>AUD</t>
        </is>
      </c>
      <c r="E243" t="inlineStr">
        <is>
          <t>ASX</t>
        </is>
      </c>
    </row>
    <row r="244">
      <c r="B244" t="inlineStr">
        <is>
          <t>QHAL</t>
        </is>
      </c>
      <c r="C244" t="inlineStr">
        <is>
          <t>Vaneck MSCI International Quality (Aud Hedged) ETF</t>
        </is>
      </c>
      <c r="D244" t="inlineStr">
        <is>
          <t>AUD</t>
        </is>
      </c>
      <c r="E244" t="inlineStr">
        <is>
          <t>ASX</t>
        </is>
      </c>
    </row>
    <row r="245">
      <c r="B245" t="inlineStr">
        <is>
          <t>RCAP</t>
        </is>
      </c>
      <c r="C245" t="inlineStr">
        <is>
          <t>Resolution Cap Global Prop Sec (Managed Fund)</t>
        </is>
      </c>
      <c r="D245" t="inlineStr">
        <is>
          <t>AUD</t>
        </is>
      </c>
      <c r="E245" t="inlineStr">
        <is>
          <t>ASX</t>
        </is>
      </c>
    </row>
    <row r="246">
      <c r="B246" t="inlineStr">
        <is>
          <t>CSC</t>
        </is>
      </c>
      <c r="C246" t="inlineStr">
        <is>
          <t>Capstone Copper Corp</t>
        </is>
      </c>
      <c r="D246" t="inlineStr">
        <is>
          <t>AUD</t>
        </is>
      </c>
      <c r="E246" t="inlineStr">
        <is>
          <t>ASX</t>
        </is>
      </c>
    </row>
    <row r="247">
      <c r="B247" t="inlineStr">
        <is>
          <t>WPR</t>
        </is>
      </c>
      <c r="C247" t="inlineStr">
        <is>
          <t>Waypoint REIT</t>
        </is>
      </c>
      <c r="D247" t="inlineStr">
        <is>
          <t>AUD</t>
        </is>
      </c>
      <c r="E247" t="inlineStr">
        <is>
          <t>ASX</t>
        </is>
      </c>
    </row>
    <row r="248">
      <c r="B248" t="inlineStr">
        <is>
          <t>QPON</t>
        </is>
      </c>
      <c r="C248" t="inlineStr">
        <is>
          <t>Betashares Australian Bank Senior Floating Rate Bond ETF</t>
        </is>
      </c>
      <c r="D248" t="inlineStr">
        <is>
          <t>AUD</t>
        </is>
      </c>
      <c r="E248" t="inlineStr">
        <is>
          <t>ASX</t>
        </is>
      </c>
    </row>
    <row r="249">
      <c r="B249" t="inlineStr">
        <is>
          <t>WBCPL</t>
        </is>
      </c>
      <c r="C249" t="inlineStr">
        <is>
          <t>Westpac Banking Corporation</t>
        </is>
      </c>
      <c r="D249" t="inlineStr">
        <is>
          <t>AUD</t>
        </is>
      </c>
      <c r="E249" t="inlineStr">
        <is>
          <t>ASX</t>
        </is>
      </c>
    </row>
    <row r="250">
      <c r="B250" t="inlineStr">
        <is>
          <t>NWS</t>
        </is>
      </c>
      <c r="C250" t="inlineStr">
        <is>
          <t>News Corporation</t>
        </is>
      </c>
      <c r="D250" t="inlineStr">
        <is>
          <t>AUD</t>
        </is>
      </c>
      <c r="E250" t="inlineStr">
        <is>
          <t>ASX</t>
        </is>
      </c>
    </row>
    <row r="251">
      <c r="B251" t="inlineStr">
        <is>
          <t>ARF</t>
        </is>
      </c>
      <c r="C251" t="inlineStr">
        <is>
          <t>Arena REIT</t>
        </is>
      </c>
      <c r="D251" t="inlineStr">
        <is>
          <t>AUD</t>
        </is>
      </c>
      <c r="E251" t="inlineStr">
        <is>
          <t>ASX</t>
        </is>
      </c>
    </row>
    <row r="252">
      <c r="B252" t="inlineStr">
        <is>
          <t>OCL</t>
        </is>
      </c>
      <c r="C252" t="inlineStr">
        <is>
          <t>Objective Corporation Ltd</t>
        </is>
      </c>
      <c r="D252" t="inlineStr">
        <is>
          <t>AUD</t>
        </is>
      </c>
      <c r="E252" t="inlineStr">
        <is>
          <t>ASX</t>
        </is>
      </c>
    </row>
    <row r="253">
      <c r="B253" t="inlineStr">
        <is>
          <t>NWH</t>
        </is>
      </c>
      <c r="C253" t="inlineStr">
        <is>
          <t>NRW Holdings Ltd</t>
        </is>
      </c>
      <c r="D253" t="inlineStr">
        <is>
          <t>AUD</t>
        </is>
      </c>
      <c r="E253" t="inlineStr">
        <is>
          <t>ASX</t>
        </is>
      </c>
    </row>
    <row r="254">
      <c r="B254" t="inlineStr">
        <is>
          <t>AN3PI</t>
        </is>
      </c>
      <c r="C254" t="inlineStr">
        <is>
          <t>Australia and New Zealand Banking Group Ltd</t>
        </is>
      </c>
      <c r="D254" t="inlineStr">
        <is>
          <t>AUD</t>
        </is>
      </c>
      <c r="E254" t="inlineStr">
        <is>
          <t>ASX</t>
        </is>
      </c>
    </row>
    <row r="255">
      <c r="B255" t="inlineStr">
        <is>
          <t>MGH</t>
        </is>
      </c>
      <c r="C255" t="inlineStr">
        <is>
          <t>Maas Group Holdings Ltd</t>
        </is>
      </c>
      <c r="D255" t="inlineStr">
        <is>
          <t>AUD</t>
        </is>
      </c>
      <c r="E255" t="inlineStr">
        <is>
          <t>ASX</t>
        </is>
      </c>
    </row>
    <row r="256">
      <c r="B256" t="inlineStr">
        <is>
          <t>DDR</t>
        </is>
      </c>
      <c r="C256" t="inlineStr">
        <is>
          <t>Dicker Data Ltd</t>
        </is>
      </c>
      <c r="D256" t="inlineStr">
        <is>
          <t>AUD</t>
        </is>
      </c>
      <c r="E256" t="inlineStr">
        <is>
          <t>ASX</t>
        </is>
      </c>
    </row>
    <row r="257">
      <c r="B257" t="inlineStr">
        <is>
          <t>PNV</t>
        </is>
      </c>
      <c r="C257" t="inlineStr">
        <is>
          <t>Polynovo Ltd</t>
        </is>
      </c>
      <c r="D257" t="inlineStr">
        <is>
          <t>AUD</t>
        </is>
      </c>
      <c r="E257" t="inlineStr">
        <is>
          <t>ASX</t>
        </is>
      </c>
    </row>
    <row r="258">
      <c r="B258" t="inlineStr">
        <is>
          <t>SLX</t>
        </is>
      </c>
      <c r="C258" t="inlineStr">
        <is>
          <t>SILEX Systems Ltd</t>
        </is>
      </c>
      <c r="D258" t="inlineStr">
        <is>
          <t>AUD</t>
        </is>
      </c>
      <c r="E258" t="inlineStr">
        <is>
          <t>ASX</t>
        </is>
      </c>
    </row>
    <row r="259">
      <c r="B259" t="inlineStr">
        <is>
          <t>AN3PK</t>
        </is>
      </c>
      <c r="C259" t="inlineStr">
        <is>
          <t>Australia and New Zealand Banking Group Ltd</t>
        </is>
      </c>
      <c r="D259" t="inlineStr">
        <is>
          <t>AUD</t>
        </is>
      </c>
      <c r="E259" t="inlineStr">
        <is>
          <t>ASX</t>
        </is>
      </c>
    </row>
    <row r="260">
      <c r="B260" t="inlineStr">
        <is>
          <t>MQGPG</t>
        </is>
      </c>
      <c r="C260" t="inlineStr">
        <is>
          <t>Macquarie Group Ltd</t>
        </is>
      </c>
      <c r="D260" t="inlineStr">
        <is>
          <t>AUD</t>
        </is>
      </c>
      <c r="E260" t="inlineStr">
        <is>
          <t>ASX</t>
        </is>
      </c>
    </row>
    <row r="261">
      <c r="B261" t="inlineStr">
        <is>
          <t>SNL</t>
        </is>
      </c>
      <c r="C261" t="inlineStr">
        <is>
          <t>Supply Network Ltd</t>
        </is>
      </c>
      <c r="D261" t="inlineStr">
        <is>
          <t>AUD</t>
        </is>
      </c>
      <c r="E261" t="inlineStr">
        <is>
          <t>ASX</t>
        </is>
      </c>
    </row>
    <row r="262">
      <c r="B262" t="inlineStr">
        <is>
          <t>FRW</t>
        </is>
      </c>
      <c r="C262" t="inlineStr">
        <is>
          <t>Freightways Group Ltd</t>
        </is>
      </c>
      <c r="D262" t="inlineStr">
        <is>
          <t>AUD</t>
        </is>
      </c>
      <c r="E262" t="inlineStr">
        <is>
          <t>ASX</t>
        </is>
      </c>
    </row>
    <row r="263">
      <c r="B263" t="inlineStr">
        <is>
          <t>TAH</t>
        </is>
      </c>
      <c r="C263" t="inlineStr">
        <is>
          <t>Tabcorp Holdings Ltd</t>
        </is>
      </c>
      <c r="D263" t="inlineStr">
        <is>
          <t>AUD</t>
        </is>
      </c>
      <c r="E263" t="inlineStr">
        <is>
          <t>ASX</t>
        </is>
      </c>
    </row>
    <row r="264">
      <c r="B264" t="inlineStr">
        <is>
          <t>CNI</t>
        </is>
      </c>
      <c r="C264" t="inlineStr">
        <is>
          <t>Centuria Capital Group</t>
        </is>
      </c>
      <c r="D264" t="inlineStr">
        <is>
          <t>AUD</t>
        </is>
      </c>
      <c r="E264" t="inlineStr">
        <is>
          <t>ASX</t>
        </is>
      </c>
    </row>
    <row r="265">
      <c r="B265" t="inlineStr">
        <is>
          <t>ASK</t>
        </is>
      </c>
      <c r="C265" t="inlineStr">
        <is>
          <t>Abacus Storage King</t>
        </is>
      </c>
      <c r="D265" t="inlineStr">
        <is>
          <t>AUD</t>
        </is>
      </c>
      <c r="E265" t="inlineStr">
        <is>
          <t>ASX</t>
        </is>
      </c>
    </row>
    <row r="266">
      <c r="B266" t="inlineStr">
        <is>
          <t>AOV</t>
        </is>
      </c>
      <c r="C266" t="inlineStr">
        <is>
          <t>Amotiv Ltd</t>
        </is>
      </c>
      <c r="D266" t="inlineStr">
        <is>
          <t>AUD</t>
        </is>
      </c>
      <c r="E266" t="inlineStr">
        <is>
          <t>ASX</t>
        </is>
      </c>
    </row>
    <row r="267">
      <c r="B267" t="inlineStr">
        <is>
          <t>QSML</t>
        </is>
      </c>
      <c r="C267" t="inlineStr">
        <is>
          <t>Vaneck MSCI Intl Small Companies Quality ETF</t>
        </is>
      </c>
      <c r="D267" t="inlineStr">
        <is>
          <t>AUD</t>
        </is>
      </c>
      <c r="E267" t="inlineStr">
        <is>
          <t>ASX</t>
        </is>
      </c>
    </row>
    <row r="268">
      <c r="B268" t="inlineStr">
        <is>
          <t>MND</t>
        </is>
      </c>
      <c r="C268" t="inlineStr">
        <is>
          <t>Monadelphous Group Ltd</t>
        </is>
      </c>
      <c r="D268" t="inlineStr">
        <is>
          <t>AUD</t>
        </is>
      </c>
      <c r="E268" t="inlineStr">
        <is>
          <t>ASX</t>
        </is>
      </c>
    </row>
    <row r="269">
      <c r="B269" t="inlineStr">
        <is>
          <t>BGL</t>
        </is>
      </c>
      <c r="C269" t="inlineStr">
        <is>
          <t>Bellevue Gold Ltd</t>
        </is>
      </c>
      <c r="D269" t="inlineStr">
        <is>
          <t>AUD</t>
        </is>
      </c>
      <c r="E269" t="inlineStr">
        <is>
          <t>ASX</t>
        </is>
      </c>
    </row>
    <row r="270">
      <c r="B270" t="inlineStr">
        <is>
          <t>OBM</t>
        </is>
      </c>
      <c r="C270" t="inlineStr">
        <is>
          <t>Ora Banda Mining Ltd</t>
        </is>
      </c>
      <c r="D270" t="inlineStr">
        <is>
          <t>AUD</t>
        </is>
      </c>
      <c r="E270" t="inlineStr">
        <is>
          <t>ASX</t>
        </is>
      </c>
    </row>
    <row r="271">
      <c r="B271" t="inlineStr">
        <is>
          <t>IXJ</t>
        </is>
      </c>
      <c r="C271" t="inlineStr">
        <is>
          <t>Ishares Global Healthcare ETF</t>
        </is>
      </c>
      <c r="D271" t="inlineStr">
        <is>
          <t>AUD</t>
        </is>
      </c>
      <c r="E271" t="inlineStr">
        <is>
          <t>ASX</t>
        </is>
      </c>
    </row>
    <row r="272">
      <c r="B272" t="inlineStr">
        <is>
          <t>DYL</t>
        </is>
      </c>
      <c r="C272" t="inlineStr">
        <is>
          <t>Deep Yellow Ltd</t>
        </is>
      </c>
      <c r="D272" t="inlineStr">
        <is>
          <t>AUD</t>
        </is>
      </c>
      <c r="E272" t="inlineStr">
        <is>
          <t>ASX</t>
        </is>
      </c>
    </row>
    <row r="273">
      <c r="B273" t="inlineStr">
        <is>
          <t>BKI</t>
        </is>
      </c>
      <c r="C273" t="inlineStr">
        <is>
          <t>BKI Investment Company Ltd</t>
        </is>
      </c>
      <c r="D273" t="inlineStr">
        <is>
          <t>AUD</t>
        </is>
      </c>
      <c r="E273" t="inlineStr">
        <is>
          <t>ASX</t>
        </is>
      </c>
    </row>
    <row r="274">
      <c r="B274" t="inlineStr">
        <is>
          <t>NUF</t>
        </is>
      </c>
      <c r="C274" t="inlineStr">
        <is>
          <t>Nufarm Ltd</t>
        </is>
      </c>
      <c r="D274" t="inlineStr">
        <is>
          <t>AUD</t>
        </is>
      </c>
      <c r="E274" t="inlineStr">
        <is>
          <t>ASX</t>
        </is>
      </c>
    </row>
    <row r="275">
      <c r="B275" t="inlineStr">
        <is>
          <t>CBAPG</t>
        </is>
      </c>
      <c r="C275" t="inlineStr">
        <is>
          <t>Commonwealth Bank of Australia</t>
        </is>
      </c>
      <c r="D275" t="inlineStr">
        <is>
          <t>AUD</t>
        </is>
      </c>
      <c r="E275" t="inlineStr">
        <is>
          <t>ASX</t>
        </is>
      </c>
    </row>
    <row r="276">
      <c r="B276" t="inlineStr">
        <is>
          <t>MP1</t>
        </is>
      </c>
      <c r="C276" t="inlineStr">
        <is>
          <t>Megaport Ltd</t>
        </is>
      </c>
      <c r="D276" t="inlineStr">
        <is>
          <t>AUD</t>
        </is>
      </c>
      <c r="E276" t="inlineStr">
        <is>
          <t>ASX</t>
        </is>
      </c>
    </row>
    <row r="277">
      <c r="B277" t="inlineStr">
        <is>
          <t>IPH</t>
        </is>
      </c>
      <c r="C277" t="inlineStr">
        <is>
          <t>IPH Ltd</t>
        </is>
      </c>
      <c r="D277" t="inlineStr">
        <is>
          <t>AUD</t>
        </is>
      </c>
      <c r="E277" t="inlineStr">
        <is>
          <t>ASX</t>
        </is>
      </c>
    </row>
    <row r="278">
      <c r="B278" t="inlineStr">
        <is>
          <t>AN3PJ</t>
        </is>
      </c>
      <c r="C278" t="inlineStr">
        <is>
          <t>Australia and New Zealand Banking Group Ltd</t>
        </is>
      </c>
      <c r="D278" t="inlineStr">
        <is>
          <t>AUD</t>
        </is>
      </c>
      <c r="E278" t="inlineStr">
        <is>
          <t>ASX</t>
        </is>
      </c>
    </row>
    <row r="279">
      <c r="B279" t="inlineStr">
        <is>
          <t>NCK</t>
        </is>
      </c>
      <c r="C279" t="inlineStr">
        <is>
          <t>Nick Scali Ltd</t>
        </is>
      </c>
      <c r="D279" t="inlineStr">
        <is>
          <t>AUD</t>
        </is>
      </c>
      <c r="E279" t="inlineStr">
        <is>
          <t>ASX</t>
        </is>
      </c>
    </row>
    <row r="280">
      <c r="B280" t="inlineStr">
        <is>
          <t>ELD</t>
        </is>
      </c>
      <c r="C280" t="inlineStr">
        <is>
          <t>Elders Ltd</t>
        </is>
      </c>
      <c r="D280" t="inlineStr">
        <is>
          <t>AUD</t>
        </is>
      </c>
      <c r="E280" t="inlineStr">
        <is>
          <t>ASX</t>
        </is>
      </c>
    </row>
    <row r="281">
      <c r="B281" t="inlineStr">
        <is>
          <t>AX1</t>
        </is>
      </c>
      <c r="C281" t="inlineStr">
        <is>
          <t>Accent Group Ltd</t>
        </is>
      </c>
      <c r="D281" t="inlineStr">
        <is>
          <t>AUD</t>
        </is>
      </c>
      <c r="E281" t="inlineStr">
        <is>
          <t>ASX</t>
        </is>
      </c>
    </row>
    <row r="282">
      <c r="B282" t="inlineStr">
        <is>
          <t>CU6</t>
        </is>
      </c>
      <c r="C282" t="inlineStr">
        <is>
          <t>Clarity Pharmaceuticals Ltd</t>
        </is>
      </c>
      <c r="D282" t="inlineStr">
        <is>
          <t>AUD</t>
        </is>
      </c>
      <c r="E282" t="inlineStr">
        <is>
          <t>ASX</t>
        </is>
      </c>
    </row>
    <row r="283">
      <c r="B283" t="inlineStr">
        <is>
          <t>AUI</t>
        </is>
      </c>
      <c r="C283" t="inlineStr">
        <is>
          <t>Australian United Investment Company Ltd</t>
        </is>
      </c>
      <c r="D283" t="inlineStr">
        <is>
          <t>AUD</t>
        </is>
      </c>
      <c r="E283" t="inlineStr">
        <is>
          <t>ASX</t>
        </is>
      </c>
    </row>
    <row r="284">
      <c r="B284" t="inlineStr">
        <is>
          <t>NABPJ</t>
        </is>
      </c>
      <c r="C284" t="inlineStr">
        <is>
          <t>National Australia Bank Ltd</t>
        </is>
      </c>
      <c r="D284" t="inlineStr">
        <is>
          <t>AUD</t>
        </is>
      </c>
      <c r="E284" t="inlineStr">
        <is>
          <t>ASX</t>
        </is>
      </c>
    </row>
    <row r="285">
      <c r="B285" t="inlineStr">
        <is>
          <t>BOE</t>
        </is>
      </c>
      <c r="C285" t="inlineStr">
        <is>
          <t>Boss Energy Ltd</t>
        </is>
      </c>
      <c r="D285" t="inlineStr">
        <is>
          <t>AUD</t>
        </is>
      </c>
      <c r="E285" t="inlineStr">
        <is>
          <t>ASX</t>
        </is>
      </c>
    </row>
    <row r="286">
      <c r="B286" t="inlineStr">
        <is>
          <t>RPL</t>
        </is>
      </c>
      <c r="C286" t="inlineStr">
        <is>
          <t>Regal Partners Ltd</t>
        </is>
      </c>
      <c r="D286" t="inlineStr">
        <is>
          <t>AUD</t>
        </is>
      </c>
      <c r="E286" t="inlineStr">
        <is>
          <t>ASX</t>
        </is>
      </c>
    </row>
    <row r="287">
      <c r="B287" t="inlineStr">
        <is>
          <t>HLI</t>
        </is>
      </c>
      <c r="C287" t="inlineStr">
        <is>
          <t>Helia Group Ltd</t>
        </is>
      </c>
      <c r="D287" t="inlineStr">
        <is>
          <t>AUD</t>
        </is>
      </c>
      <c r="E287" t="inlineStr">
        <is>
          <t>ASX</t>
        </is>
      </c>
    </row>
    <row r="288">
      <c r="B288" t="inlineStr">
        <is>
          <t>GDG</t>
        </is>
      </c>
      <c r="C288" t="inlineStr">
        <is>
          <t>Generation Development Group Ltd</t>
        </is>
      </c>
      <c r="D288" t="inlineStr">
        <is>
          <t>AUD</t>
        </is>
      </c>
      <c r="E288" t="inlineStr">
        <is>
          <t>ASX</t>
        </is>
      </c>
    </row>
    <row r="289">
      <c r="B289" t="inlineStr">
        <is>
          <t>ZIM</t>
        </is>
      </c>
      <c r="C289" t="inlineStr">
        <is>
          <t>Zimplats Holdings Ltd</t>
        </is>
      </c>
      <c r="D289" t="inlineStr">
        <is>
          <t>AUD</t>
        </is>
      </c>
      <c r="E289" t="inlineStr">
        <is>
          <t>ASX</t>
        </is>
      </c>
    </row>
    <row r="290">
      <c r="B290" t="inlineStr">
        <is>
          <t>IMD</t>
        </is>
      </c>
      <c r="C290" t="inlineStr">
        <is>
          <t>IMDEX Ltd</t>
        </is>
      </c>
      <c r="D290" t="inlineStr">
        <is>
          <t>AUD</t>
        </is>
      </c>
      <c r="E290" t="inlineStr">
        <is>
          <t>ASX</t>
        </is>
      </c>
    </row>
    <row r="291">
      <c r="B291" t="inlineStr">
        <is>
          <t>IEM</t>
        </is>
      </c>
      <c r="C291" t="inlineStr">
        <is>
          <t>Ishares MSCI Emerging Markets ETF</t>
        </is>
      </c>
      <c r="D291" t="inlineStr">
        <is>
          <t>AUD</t>
        </is>
      </c>
      <c r="E291" t="inlineStr">
        <is>
          <t>ASX</t>
        </is>
      </c>
    </row>
    <row r="292">
      <c r="B292" t="inlineStr">
        <is>
          <t>ASB</t>
        </is>
      </c>
      <c r="C292" t="inlineStr">
        <is>
          <t>Austal Ltd</t>
        </is>
      </c>
      <c r="D292" t="inlineStr">
        <is>
          <t>AUD</t>
        </is>
      </c>
      <c r="E292" t="inlineStr">
        <is>
          <t>ASX</t>
        </is>
      </c>
    </row>
    <row r="293">
      <c r="B293" t="inlineStr">
        <is>
          <t>PRN</t>
        </is>
      </c>
      <c r="C293" t="inlineStr">
        <is>
          <t>Perenti Ltd</t>
        </is>
      </c>
      <c r="D293" t="inlineStr">
        <is>
          <t>AUD</t>
        </is>
      </c>
      <c r="E293" t="inlineStr">
        <is>
          <t>ASX</t>
        </is>
      </c>
    </row>
    <row r="294">
      <c r="B294" t="inlineStr">
        <is>
          <t>IPX</t>
        </is>
      </c>
      <c r="C294" t="inlineStr">
        <is>
          <t>Iperionx Ltd</t>
        </is>
      </c>
      <c r="D294" t="inlineStr">
        <is>
          <t>AUD</t>
        </is>
      </c>
      <c r="E294" t="inlineStr">
        <is>
          <t>ASX</t>
        </is>
      </c>
    </row>
    <row r="295">
      <c r="B295" t="inlineStr">
        <is>
          <t>IFRA</t>
        </is>
      </c>
      <c r="C295" t="inlineStr">
        <is>
          <t>Vaneck Ftse Global Infrastructure (Aud Hedged) ETF</t>
        </is>
      </c>
      <c r="D295" t="inlineStr">
        <is>
          <t>AUD</t>
        </is>
      </c>
      <c r="E295" t="inlineStr">
        <is>
          <t>ASX</t>
        </is>
      </c>
    </row>
    <row r="296">
      <c r="B296" t="inlineStr">
        <is>
          <t>MAD</t>
        </is>
      </c>
      <c r="C296" t="inlineStr">
        <is>
          <t>Mader Group Ltd</t>
        </is>
      </c>
      <c r="D296" t="inlineStr">
        <is>
          <t>AUD</t>
        </is>
      </c>
      <c r="E296" t="inlineStr">
        <is>
          <t>ASX</t>
        </is>
      </c>
    </row>
    <row r="297">
      <c r="B297" t="inlineStr">
        <is>
          <t>CBAPJ</t>
        </is>
      </c>
      <c r="C297" t="inlineStr">
        <is>
          <t>Commonwealth Bank of Australia</t>
        </is>
      </c>
      <c r="D297" t="inlineStr">
        <is>
          <t>AUD</t>
        </is>
      </c>
      <c r="E297" t="inlineStr">
        <is>
          <t>ASX</t>
        </is>
      </c>
    </row>
    <row r="298">
      <c r="B298" t="inlineStr">
        <is>
          <t>OPT</t>
        </is>
      </c>
      <c r="C298" t="inlineStr">
        <is>
          <t>Opthea Ltd</t>
        </is>
      </c>
      <c r="D298" t="inlineStr">
        <is>
          <t>AUD</t>
        </is>
      </c>
      <c r="E298" t="inlineStr">
        <is>
          <t>ASX</t>
        </is>
      </c>
    </row>
    <row r="299">
      <c r="B299" t="inlineStr">
        <is>
          <t>LFS</t>
        </is>
      </c>
      <c r="C299" t="inlineStr">
        <is>
          <t>Latitude Group Holdings Ltd</t>
        </is>
      </c>
      <c r="D299" t="inlineStr">
        <is>
          <t>AUD</t>
        </is>
      </c>
      <c r="E299" t="inlineStr">
        <is>
          <t>ASX</t>
        </is>
      </c>
    </row>
    <row r="300">
      <c r="B300" t="inlineStr">
        <is>
          <t>MAF</t>
        </is>
      </c>
      <c r="C300" t="inlineStr">
        <is>
          <t>MA Financial Group Ltd</t>
        </is>
      </c>
      <c r="D300" t="inlineStr">
        <is>
          <t>AUD</t>
        </is>
      </c>
      <c r="E300" t="inlineStr">
        <is>
          <t>ASX</t>
        </is>
      </c>
    </row>
    <row r="301">
      <c r="B301" t="inlineStr">
        <is>
          <t>VESG</t>
        </is>
      </c>
      <c r="C301" t="inlineStr">
        <is>
          <t>Vanguard Ethically Conscious International Shares INDEX ETF</t>
        </is>
      </c>
      <c r="D301" t="inlineStr">
        <is>
          <t>AUD</t>
        </is>
      </c>
      <c r="E301" t="inlineStr">
        <is>
          <t>ASX</t>
        </is>
      </c>
    </row>
    <row r="302">
      <c r="B302" t="inlineStr">
        <is>
          <t>ADT</t>
        </is>
      </c>
      <c r="C302" t="inlineStr">
        <is>
          <t>Adriatic Metals Plc</t>
        </is>
      </c>
      <c r="D302" t="inlineStr">
        <is>
          <t>AUD</t>
        </is>
      </c>
      <c r="E302" t="inlineStr">
        <is>
          <t>ASX</t>
        </is>
      </c>
    </row>
    <row r="303">
      <c r="B303" t="inlineStr">
        <is>
          <t>CCP</t>
        </is>
      </c>
      <c r="C303" t="inlineStr">
        <is>
          <t>Credit Corp Group Ltd</t>
        </is>
      </c>
      <c r="D303" t="inlineStr">
        <is>
          <t>AUD</t>
        </is>
      </c>
      <c r="E303" t="inlineStr">
        <is>
          <t>ASX</t>
        </is>
      </c>
    </row>
    <row r="304">
      <c r="B304" t="inlineStr">
        <is>
          <t>HACK</t>
        </is>
      </c>
      <c r="C304" t="inlineStr">
        <is>
          <t>Betashares Global Cybersecurity ETF</t>
        </is>
      </c>
      <c r="D304" t="inlineStr">
        <is>
          <t>AUD</t>
        </is>
      </c>
      <c r="E304" t="inlineStr">
        <is>
          <t>ASX</t>
        </is>
      </c>
    </row>
    <row r="305">
      <c r="B305" t="inlineStr">
        <is>
          <t>SGF</t>
        </is>
      </c>
      <c r="C305" t="inlineStr">
        <is>
          <t>SG Fleet Group Ltd</t>
        </is>
      </c>
      <c r="D305" t="inlineStr">
        <is>
          <t>AUD</t>
        </is>
      </c>
      <c r="E305" t="inlineStr">
        <is>
          <t>ASX</t>
        </is>
      </c>
    </row>
    <row r="306">
      <c r="B306" t="inlineStr">
        <is>
          <t>GTK</t>
        </is>
      </c>
      <c r="C306" t="inlineStr">
        <is>
          <t>Gentrack Group Ltd</t>
        </is>
      </c>
      <c r="D306" t="inlineStr">
        <is>
          <t>AUD</t>
        </is>
      </c>
      <c r="E306" t="inlineStr">
        <is>
          <t>ASX</t>
        </is>
      </c>
    </row>
    <row r="307">
      <c r="B307" t="inlineStr">
        <is>
          <t>ING</t>
        </is>
      </c>
      <c r="C307" t="inlineStr">
        <is>
          <t>Inghams Group Ltd</t>
        </is>
      </c>
      <c r="D307" t="inlineStr">
        <is>
          <t>AUD</t>
        </is>
      </c>
      <c r="E307" t="inlineStr">
        <is>
          <t>ASX</t>
        </is>
      </c>
    </row>
    <row r="308">
      <c r="B308" t="inlineStr">
        <is>
          <t>IWLD</t>
        </is>
      </c>
      <c r="C308" t="inlineStr">
        <is>
          <t>Ishares Core MSCI World Ex Australia Esg ETF</t>
        </is>
      </c>
      <c r="D308" t="inlineStr">
        <is>
          <t>AUD</t>
        </is>
      </c>
      <c r="E308" t="inlineStr">
        <is>
          <t>ASX</t>
        </is>
      </c>
    </row>
    <row r="309">
      <c r="B309" t="inlineStr">
        <is>
          <t>LIC</t>
        </is>
      </c>
      <c r="C309" t="inlineStr">
        <is>
          <t>Lifestyle Communities Ltd</t>
        </is>
      </c>
      <c r="D309" t="inlineStr">
        <is>
          <t>AUD</t>
        </is>
      </c>
      <c r="E309" t="inlineStr">
        <is>
          <t>ASX</t>
        </is>
      </c>
    </row>
    <row r="310">
      <c r="B310" t="inlineStr">
        <is>
          <t>PGF</t>
        </is>
      </c>
      <c r="C310" t="inlineStr">
        <is>
          <t>PM Capital Global Opportunities Fund Ltd</t>
        </is>
      </c>
      <c r="D310" t="inlineStr">
        <is>
          <t>AUD</t>
        </is>
      </c>
      <c r="E310" t="inlineStr">
        <is>
          <t>ASX</t>
        </is>
      </c>
    </row>
    <row r="311">
      <c r="B311" t="inlineStr">
        <is>
          <t>FAIR</t>
        </is>
      </c>
      <c r="C311" t="inlineStr">
        <is>
          <t>Betashares Australian Sustainability Leaders ETF</t>
        </is>
      </c>
      <c r="D311" t="inlineStr">
        <is>
          <t>AUD</t>
        </is>
      </c>
      <c r="E311" t="inlineStr">
        <is>
          <t>ASX</t>
        </is>
      </c>
    </row>
    <row r="312">
      <c r="B312" t="inlineStr">
        <is>
          <t>NXG</t>
        </is>
      </c>
      <c r="C312" t="inlineStr">
        <is>
          <t>Nexgen Energy (Canada) Ltd</t>
        </is>
      </c>
      <c r="D312" t="inlineStr">
        <is>
          <t>AUD</t>
        </is>
      </c>
      <c r="E312" t="inlineStr">
        <is>
          <t>ASX</t>
        </is>
      </c>
    </row>
    <row r="313">
      <c r="B313" t="inlineStr">
        <is>
          <t>VGE</t>
        </is>
      </c>
      <c r="C313" t="inlineStr">
        <is>
          <t>Vanguard Ftse Emerging Markets Shares ETF</t>
        </is>
      </c>
      <c r="D313" t="inlineStr">
        <is>
          <t>AUD</t>
        </is>
      </c>
      <c r="E313" t="inlineStr">
        <is>
          <t>ASX</t>
        </is>
      </c>
    </row>
    <row r="314">
      <c r="B314" t="inlineStr">
        <is>
          <t>DUI</t>
        </is>
      </c>
      <c r="C314" t="inlineStr">
        <is>
          <t>Diversified United Investment Ltd</t>
        </is>
      </c>
      <c r="D314" t="inlineStr">
        <is>
          <t>AUD</t>
        </is>
      </c>
      <c r="E314" t="inlineStr">
        <is>
          <t>ASX</t>
        </is>
      </c>
    </row>
    <row r="315">
      <c r="B315" t="inlineStr">
        <is>
          <t>HGBL</t>
        </is>
      </c>
      <c r="C315" t="inlineStr">
        <is>
          <t>Betashares Global Shares ETF - Currency Hedged</t>
        </is>
      </c>
      <c r="D315" t="inlineStr">
        <is>
          <t>AUD</t>
        </is>
      </c>
      <c r="E315" t="inlineStr">
        <is>
          <t>ASX</t>
        </is>
      </c>
    </row>
    <row r="316">
      <c r="B316" t="inlineStr">
        <is>
          <t>VUL</t>
        </is>
      </c>
      <c r="C316" t="inlineStr">
        <is>
          <t>Vulcan Energy Resources Ltd</t>
        </is>
      </c>
      <c r="D316" t="inlineStr">
        <is>
          <t>AUD</t>
        </is>
      </c>
      <c r="E316" t="inlineStr">
        <is>
          <t>ASX</t>
        </is>
      </c>
    </row>
    <row r="317">
      <c r="B317" t="inlineStr">
        <is>
          <t>CRN</t>
        </is>
      </c>
      <c r="C317" t="inlineStr">
        <is>
          <t>Coronado Global Resources Inc</t>
        </is>
      </c>
      <c r="D317" t="inlineStr">
        <is>
          <t>AUD</t>
        </is>
      </c>
      <c r="E317" t="inlineStr">
        <is>
          <t>ASX</t>
        </is>
      </c>
    </row>
    <row r="318">
      <c r="B318" t="inlineStr">
        <is>
          <t>NAN</t>
        </is>
      </c>
      <c r="C318" t="inlineStr">
        <is>
          <t>Nanosonics Ltd</t>
        </is>
      </c>
      <c r="D318" t="inlineStr">
        <is>
          <t>AUD</t>
        </is>
      </c>
      <c r="E318" t="inlineStr">
        <is>
          <t>ASX</t>
        </is>
      </c>
    </row>
    <row r="319">
      <c r="B319" t="inlineStr">
        <is>
          <t>DAVA</t>
        </is>
      </c>
      <c r="C319" t="inlineStr">
        <is>
          <t>Dimensional Australian Value Trust - Active ETF</t>
        </is>
      </c>
      <c r="D319" t="inlineStr">
        <is>
          <t>AUD</t>
        </is>
      </c>
      <c r="E319" t="inlineStr">
        <is>
          <t>ASX</t>
        </is>
      </c>
    </row>
    <row r="320">
      <c r="B320" t="inlineStr">
        <is>
          <t>FANG</t>
        </is>
      </c>
      <c r="C320" t="inlineStr">
        <is>
          <t>Global X Fang+ ETF</t>
        </is>
      </c>
      <c r="D320" t="inlineStr">
        <is>
          <t>AUD</t>
        </is>
      </c>
      <c r="E320" t="inlineStr">
        <is>
          <t>ASX</t>
        </is>
      </c>
    </row>
    <row r="321">
      <c r="B321" t="inlineStr">
        <is>
          <t>LFG</t>
        </is>
      </c>
      <c r="C321" t="inlineStr">
        <is>
          <t>Liberty Financial Group</t>
        </is>
      </c>
      <c r="D321" t="inlineStr">
        <is>
          <t>AUD</t>
        </is>
      </c>
      <c r="E321" t="inlineStr">
        <is>
          <t>ASX</t>
        </is>
      </c>
    </row>
    <row r="322">
      <c r="B322" t="inlineStr">
        <is>
          <t>IDX</t>
        </is>
      </c>
      <c r="C322" t="inlineStr">
        <is>
          <t>Integral Diagnostics Ltd</t>
        </is>
      </c>
      <c r="D322" t="inlineStr">
        <is>
          <t>AUD</t>
        </is>
      </c>
      <c r="E322" t="inlineStr">
        <is>
          <t>ASX</t>
        </is>
      </c>
    </row>
    <row r="323">
      <c r="B323" t="inlineStr">
        <is>
          <t>GEM</t>
        </is>
      </c>
      <c r="C323" t="inlineStr">
        <is>
          <t>G8 Education Ltd</t>
        </is>
      </c>
      <c r="D323" t="inlineStr">
        <is>
          <t>AUD</t>
        </is>
      </c>
      <c r="E323" t="inlineStr">
        <is>
          <t>ASX</t>
        </is>
      </c>
    </row>
    <row r="324">
      <c r="B324" t="inlineStr">
        <is>
          <t>MOAT</t>
        </is>
      </c>
      <c r="C324" t="inlineStr">
        <is>
          <t>Vaneck Morningstar Wide Moat ETF</t>
        </is>
      </c>
      <c r="D324" t="inlineStr">
        <is>
          <t>AUD</t>
        </is>
      </c>
      <c r="E324" t="inlineStr">
        <is>
          <t>ASX</t>
        </is>
      </c>
    </row>
    <row r="325">
      <c r="B325" t="inlineStr">
        <is>
          <t>ABB</t>
        </is>
      </c>
      <c r="C325" t="inlineStr">
        <is>
          <t>Aussie Broadband Ltd</t>
        </is>
      </c>
      <c r="D325" t="inlineStr">
        <is>
          <t>AUD</t>
        </is>
      </c>
      <c r="E325" t="inlineStr">
        <is>
          <t>ASX</t>
        </is>
      </c>
    </row>
    <row r="326">
      <c r="B326" t="inlineStr">
        <is>
          <t>SLC</t>
        </is>
      </c>
      <c r="C326" t="inlineStr">
        <is>
          <t>Superloop Ltd</t>
        </is>
      </c>
      <c r="D326" t="inlineStr">
        <is>
          <t>AUD</t>
        </is>
      </c>
      <c r="E326" t="inlineStr">
        <is>
          <t>ASX</t>
        </is>
      </c>
    </row>
    <row r="327">
      <c r="B327" t="inlineStr">
        <is>
          <t>KAR</t>
        </is>
      </c>
      <c r="C327" t="inlineStr">
        <is>
          <t>Karoon Energy Ltd</t>
        </is>
      </c>
      <c r="D327" t="inlineStr">
        <is>
          <t>AUD</t>
        </is>
      </c>
      <c r="E327" t="inlineStr">
        <is>
          <t>ASX</t>
        </is>
      </c>
    </row>
    <row r="328">
      <c r="B328" t="inlineStr">
        <is>
          <t>HSN</t>
        </is>
      </c>
      <c r="C328" t="inlineStr">
        <is>
          <t>Hansen Technologies Ltd</t>
        </is>
      </c>
      <c r="D328" t="inlineStr">
        <is>
          <t>AUD</t>
        </is>
      </c>
      <c r="E328" t="inlineStr">
        <is>
          <t>ASX</t>
        </is>
      </c>
    </row>
    <row r="329">
      <c r="B329" t="inlineStr">
        <is>
          <t>MMS</t>
        </is>
      </c>
      <c r="C329" t="inlineStr">
        <is>
          <t>Mcmillan Shakespeare Ltd</t>
        </is>
      </c>
      <c r="D329" t="inlineStr">
        <is>
          <t>AUD</t>
        </is>
      </c>
      <c r="E329" t="inlineStr">
        <is>
          <t>ASX</t>
        </is>
      </c>
    </row>
    <row r="330">
      <c r="B330" t="inlineStr">
        <is>
          <t>DTL</t>
        </is>
      </c>
      <c r="C330" t="inlineStr">
        <is>
          <t>Data#3 Ltd</t>
        </is>
      </c>
      <c r="D330" t="inlineStr">
        <is>
          <t>AUD</t>
        </is>
      </c>
      <c r="E330" t="inlineStr">
        <is>
          <t>ASX</t>
        </is>
      </c>
    </row>
    <row r="331">
      <c r="B331" t="inlineStr">
        <is>
          <t>VGB</t>
        </is>
      </c>
      <c r="C331" t="inlineStr">
        <is>
          <t>Vanguard Australian Government Bond INDEX ETF</t>
        </is>
      </c>
      <c r="D331" t="inlineStr">
        <is>
          <t>AUD</t>
        </is>
      </c>
      <c r="E331" t="inlineStr">
        <is>
          <t>ASX</t>
        </is>
      </c>
    </row>
    <row r="332">
      <c r="B332" t="inlineStr">
        <is>
          <t>JLG</t>
        </is>
      </c>
      <c r="C332" t="inlineStr">
        <is>
          <t>Johns LYNG Group Ltd</t>
        </is>
      </c>
      <c r="D332" t="inlineStr">
        <is>
          <t>AUD</t>
        </is>
      </c>
      <c r="E332" t="inlineStr">
        <is>
          <t>ASX</t>
        </is>
      </c>
    </row>
    <row r="333">
      <c r="B333" t="inlineStr">
        <is>
          <t>CMW</t>
        </is>
      </c>
      <c r="C333" t="inlineStr">
        <is>
          <t>Cromwell Property Group</t>
        </is>
      </c>
      <c r="D333" t="inlineStr">
        <is>
          <t>AUD</t>
        </is>
      </c>
      <c r="E333" t="inlineStr">
        <is>
          <t>ASX</t>
        </is>
      </c>
    </row>
    <row r="334">
      <c r="B334" t="inlineStr">
        <is>
          <t>CRED</t>
        </is>
      </c>
      <c r="C334" t="inlineStr">
        <is>
          <t>Betashares Australian Investment Grade Corporate Bond ETF</t>
        </is>
      </c>
      <c r="D334" t="inlineStr">
        <is>
          <t>AUD</t>
        </is>
      </c>
      <c r="E334" t="inlineStr">
        <is>
          <t>ASX</t>
        </is>
      </c>
    </row>
    <row r="335">
      <c r="B335" t="inlineStr">
        <is>
          <t>SIQ</t>
        </is>
      </c>
      <c r="C335" t="inlineStr">
        <is>
          <t>Smartgroup Corporation Ltd</t>
        </is>
      </c>
      <c r="D335" t="inlineStr">
        <is>
          <t>AUD</t>
        </is>
      </c>
      <c r="E335" t="inlineStr">
        <is>
          <t>ASX</t>
        </is>
      </c>
    </row>
    <row r="336">
      <c r="B336" t="inlineStr">
        <is>
          <t>NABPK</t>
        </is>
      </c>
      <c r="C336" t="inlineStr">
        <is>
          <t>National Australia Bank Ltd</t>
        </is>
      </c>
      <c r="D336" t="inlineStr">
        <is>
          <t>AUD</t>
        </is>
      </c>
      <c r="E336" t="inlineStr">
        <is>
          <t>ASX</t>
        </is>
      </c>
    </row>
    <row r="337">
      <c r="B337" t="inlineStr">
        <is>
          <t>CAT</t>
        </is>
      </c>
      <c r="C337" t="inlineStr">
        <is>
          <t>Catapult Group International Ltd</t>
        </is>
      </c>
      <c r="D337" t="inlineStr">
        <is>
          <t>AUD</t>
        </is>
      </c>
      <c r="E337" t="inlineStr">
        <is>
          <t>ASX</t>
        </is>
      </c>
    </row>
    <row r="338">
      <c r="B338" t="inlineStr">
        <is>
          <t>HLS</t>
        </is>
      </c>
      <c r="C338" t="inlineStr">
        <is>
          <t>Healius Ltd</t>
        </is>
      </c>
      <c r="D338" t="inlineStr">
        <is>
          <t>AUD</t>
        </is>
      </c>
      <c r="E338" t="inlineStr">
        <is>
          <t>ASX</t>
        </is>
      </c>
    </row>
    <row r="339">
      <c r="B339" t="inlineStr">
        <is>
          <t>ABG</t>
        </is>
      </c>
      <c r="C339" t="inlineStr">
        <is>
          <t>Abacus Group</t>
        </is>
      </c>
      <c r="D339" t="inlineStr">
        <is>
          <t>AUD</t>
        </is>
      </c>
      <c r="E339" t="inlineStr">
        <is>
          <t>ASX</t>
        </is>
      </c>
    </row>
    <row r="340">
      <c r="B340" t="inlineStr">
        <is>
          <t>VDGR</t>
        </is>
      </c>
      <c r="C340" t="inlineStr">
        <is>
          <t>Vanguard Diversified Growth INDEX ETF</t>
        </is>
      </c>
      <c r="D340" t="inlineStr">
        <is>
          <t>AUD</t>
        </is>
      </c>
      <c r="E340" t="inlineStr">
        <is>
          <t>ASX</t>
        </is>
      </c>
    </row>
    <row r="341">
      <c r="B341" t="inlineStr">
        <is>
          <t>ERA</t>
        </is>
      </c>
      <c r="C341" t="inlineStr">
        <is>
          <t>Energy Resources of Australia Ltd</t>
        </is>
      </c>
      <c r="D341" t="inlineStr">
        <is>
          <t>AUD</t>
        </is>
      </c>
      <c r="E341" t="inlineStr">
        <is>
          <t>ASX</t>
        </is>
      </c>
    </row>
    <row r="342">
      <c r="B342" t="inlineStr">
        <is>
          <t>BGP</t>
        </is>
      </c>
      <c r="C342" t="inlineStr">
        <is>
          <t>Briscoe Group Australasia Ltd</t>
        </is>
      </c>
      <c r="D342" t="inlineStr">
        <is>
          <t>AUD</t>
        </is>
      </c>
      <c r="E342" t="inlineStr">
        <is>
          <t>ASX</t>
        </is>
      </c>
    </row>
    <row r="343">
      <c r="B343" t="inlineStr">
        <is>
          <t>A4N</t>
        </is>
      </c>
      <c r="C343" t="inlineStr">
        <is>
          <t>Alpha Hpa Ltd</t>
        </is>
      </c>
      <c r="D343" t="inlineStr">
        <is>
          <t>AUD</t>
        </is>
      </c>
      <c r="E343" t="inlineStr">
        <is>
          <t>ASX</t>
        </is>
      </c>
    </row>
    <row r="344">
      <c r="B344" t="inlineStr">
        <is>
          <t>KLS</t>
        </is>
      </c>
      <c r="C344" t="inlineStr">
        <is>
          <t>Kelsian Group Ltd</t>
        </is>
      </c>
      <c r="D344" t="inlineStr">
        <is>
          <t>AUD</t>
        </is>
      </c>
      <c r="E344" t="inlineStr">
        <is>
          <t>ASX</t>
        </is>
      </c>
    </row>
    <row r="345">
      <c r="B345" t="inlineStr">
        <is>
          <t>VSO</t>
        </is>
      </c>
      <c r="C345" t="inlineStr">
        <is>
          <t>Vanguard MSCI Australian Small Companies INDEX ETF</t>
        </is>
      </c>
      <c r="D345" t="inlineStr">
        <is>
          <t>AUD</t>
        </is>
      </c>
      <c r="E345" t="inlineStr">
        <is>
          <t>ASX</t>
        </is>
      </c>
    </row>
    <row r="346">
      <c r="B346" t="inlineStr">
        <is>
          <t>SKC</t>
        </is>
      </c>
      <c r="C346" t="inlineStr">
        <is>
          <t>Skycity Entertainment Group Ltd</t>
        </is>
      </c>
      <c r="D346" t="inlineStr">
        <is>
          <t>AUD</t>
        </is>
      </c>
      <c r="E346" t="inlineStr">
        <is>
          <t>ASX</t>
        </is>
      </c>
    </row>
    <row r="347">
      <c r="B347" t="inlineStr">
        <is>
          <t>CQE</t>
        </is>
      </c>
      <c r="C347" t="inlineStr">
        <is>
          <t>Charter Hall Social Infrastructure REIT</t>
        </is>
      </c>
      <c r="D347" t="inlineStr">
        <is>
          <t>AUD</t>
        </is>
      </c>
      <c r="E347" t="inlineStr">
        <is>
          <t>ASX</t>
        </is>
      </c>
    </row>
    <row r="348">
      <c r="B348" t="inlineStr">
        <is>
          <t>BVS</t>
        </is>
      </c>
      <c r="C348" t="inlineStr">
        <is>
          <t>Bravura Solutions Ltd</t>
        </is>
      </c>
      <c r="D348" t="inlineStr">
        <is>
          <t>AUD</t>
        </is>
      </c>
      <c r="E348" t="inlineStr">
        <is>
          <t>ASX</t>
        </is>
      </c>
    </row>
    <row r="349">
      <c r="B349" t="inlineStr">
        <is>
          <t>MQGPD</t>
        </is>
      </c>
      <c r="C349" t="inlineStr">
        <is>
          <t>Macquarie Group Ltd</t>
        </is>
      </c>
      <c r="D349" t="inlineStr">
        <is>
          <t>AUD</t>
        </is>
      </c>
      <c r="E349" t="inlineStr">
        <is>
          <t>ASX</t>
        </is>
      </c>
    </row>
    <row r="350">
      <c r="B350" t="inlineStr">
        <is>
          <t>PL8</t>
        </is>
      </c>
      <c r="C350" t="inlineStr">
        <is>
          <t>Plato Income Maximiser Ltd</t>
        </is>
      </c>
      <c r="D350" t="inlineStr">
        <is>
          <t>AUD</t>
        </is>
      </c>
      <c r="E350" t="inlineStr">
        <is>
          <t>ASX</t>
        </is>
      </c>
    </row>
    <row r="351">
      <c r="B351" t="inlineStr">
        <is>
          <t>SSM</t>
        </is>
      </c>
      <c r="C351" t="inlineStr">
        <is>
          <t>Service Stream Ltd</t>
        </is>
      </c>
      <c r="D351" t="inlineStr">
        <is>
          <t>AUD</t>
        </is>
      </c>
      <c r="E351" t="inlineStr">
        <is>
          <t>ASX</t>
        </is>
      </c>
    </row>
    <row r="352">
      <c r="B352" t="inlineStr">
        <is>
          <t>AN3PH</t>
        </is>
      </c>
      <c r="C352" t="inlineStr">
        <is>
          <t>Australia and New Zealand Banking Group Ltd</t>
        </is>
      </c>
      <c r="D352" t="inlineStr">
        <is>
          <t>AUD</t>
        </is>
      </c>
      <c r="E352" t="inlineStr">
        <is>
          <t>ASX</t>
        </is>
      </c>
    </row>
    <row r="353">
      <c r="B353" t="inlineStr">
        <is>
          <t>WA1</t>
        </is>
      </c>
      <c r="C353" t="inlineStr">
        <is>
          <t>WA1 Resources Ltd</t>
        </is>
      </c>
      <c r="D353" t="inlineStr">
        <is>
          <t>AUD</t>
        </is>
      </c>
      <c r="E353" t="inlineStr">
        <is>
          <t>ASX</t>
        </is>
      </c>
    </row>
    <row r="354">
      <c r="B354" t="inlineStr">
        <is>
          <t>VSL</t>
        </is>
      </c>
      <c r="C354" t="inlineStr">
        <is>
          <t>Vulcan Steel Ltd</t>
        </is>
      </c>
      <c r="D354" t="inlineStr">
        <is>
          <t>AUD</t>
        </is>
      </c>
      <c r="E354" t="inlineStr">
        <is>
          <t>ASX</t>
        </is>
      </c>
    </row>
    <row r="355">
      <c r="B355" t="inlineStr">
        <is>
          <t>DGVA</t>
        </is>
      </c>
      <c r="C355" t="inlineStr">
        <is>
          <t>Dimensional Global Value Trust - Active ETF</t>
        </is>
      </c>
      <c r="D355" t="inlineStr">
        <is>
          <t>AUD</t>
        </is>
      </c>
      <c r="E355" t="inlineStr">
        <is>
          <t>ASX</t>
        </is>
      </c>
    </row>
    <row r="356">
      <c r="B356" t="inlineStr">
        <is>
          <t>ILB</t>
        </is>
      </c>
      <c r="C356" t="inlineStr">
        <is>
          <t>Ishares Government Inflation ETF</t>
        </is>
      </c>
      <c r="D356" t="inlineStr">
        <is>
          <t>AUD</t>
        </is>
      </c>
      <c r="E356" t="inlineStr">
        <is>
          <t>ASX</t>
        </is>
      </c>
    </row>
    <row r="357">
      <c r="B357" t="inlineStr">
        <is>
          <t>HGH</t>
        </is>
      </c>
      <c r="C357" t="inlineStr">
        <is>
          <t>Heartland Group Holdings Ltd</t>
        </is>
      </c>
      <c r="D357" t="inlineStr">
        <is>
          <t>AUD</t>
        </is>
      </c>
      <c r="E357" t="inlineStr">
        <is>
          <t>ASX</t>
        </is>
      </c>
    </row>
    <row r="358">
      <c r="B358" t="inlineStr">
        <is>
          <t>EQT</t>
        </is>
      </c>
      <c r="C358" t="inlineStr">
        <is>
          <t>EQT Holdings Ltd</t>
        </is>
      </c>
      <c r="D358" t="inlineStr">
        <is>
          <t>AUD</t>
        </is>
      </c>
      <c r="E358" t="inlineStr">
        <is>
          <t>ASX</t>
        </is>
      </c>
    </row>
    <row r="359">
      <c r="B359" t="inlineStr">
        <is>
          <t>SRG</t>
        </is>
      </c>
      <c r="C359" t="inlineStr">
        <is>
          <t>SRG Global Ltd</t>
        </is>
      </c>
      <c r="D359" t="inlineStr">
        <is>
          <t>AUD</t>
        </is>
      </c>
      <c r="E359" t="inlineStr">
        <is>
          <t>ASX</t>
        </is>
      </c>
    </row>
    <row r="360">
      <c r="B360" t="inlineStr">
        <is>
          <t>GCI</t>
        </is>
      </c>
      <c r="C360" t="inlineStr">
        <is>
          <t>Gryphon Capital Income Trust</t>
        </is>
      </c>
      <c r="D360" t="inlineStr">
        <is>
          <t>AUD</t>
        </is>
      </c>
      <c r="E360" t="inlineStr">
        <is>
          <t>ASX</t>
        </is>
      </c>
    </row>
    <row r="361">
      <c r="B361" t="inlineStr">
        <is>
          <t>DXI</t>
        </is>
      </c>
      <c r="C361" t="inlineStr">
        <is>
          <t>Dexus Industria REIT</t>
        </is>
      </c>
      <c r="D361" t="inlineStr">
        <is>
          <t>AUD</t>
        </is>
      </c>
      <c r="E361" t="inlineStr">
        <is>
          <t>ASX</t>
        </is>
      </c>
    </row>
    <row r="362">
      <c r="B362" t="inlineStr">
        <is>
          <t>RSG</t>
        </is>
      </c>
      <c r="C362" t="inlineStr">
        <is>
          <t>Resolute Mining Ltd</t>
        </is>
      </c>
      <c r="D362" t="inlineStr">
        <is>
          <t>AUD</t>
        </is>
      </c>
      <c r="E362" t="inlineStr">
        <is>
          <t>ASX</t>
        </is>
      </c>
    </row>
    <row r="363">
      <c r="B363" t="inlineStr">
        <is>
          <t>CBO</t>
        </is>
      </c>
      <c r="C363" t="inlineStr">
        <is>
          <t>Cobram Estate Olives Ltd</t>
        </is>
      </c>
      <c r="D363" t="inlineStr">
        <is>
          <t>AUD</t>
        </is>
      </c>
      <c r="E363" t="inlineStr">
        <is>
          <t>ASX</t>
        </is>
      </c>
    </row>
    <row r="364">
      <c r="B364" t="inlineStr">
        <is>
          <t>NNUK</t>
        </is>
      </c>
      <c r="C364" t="inlineStr">
        <is>
          <t>Nanuk New World Fund Active ETF</t>
        </is>
      </c>
      <c r="D364" t="inlineStr">
        <is>
          <t>AUD</t>
        </is>
      </c>
      <c r="E364" t="inlineStr">
        <is>
          <t>ASX</t>
        </is>
      </c>
    </row>
    <row r="365">
      <c r="B365" t="inlineStr">
        <is>
          <t>RIC</t>
        </is>
      </c>
      <c r="C365" t="inlineStr">
        <is>
          <t>Ridley Corporation Ltd</t>
        </is>
      </c>
      <c r="D365" t="inlineStr">
        <is>
          <t>AUD</t>
        </is>
      </c>
      <c r="E365" t="inlineStr">
        <is>
          <t>ASX</t>
        </is>
      </c>
    </row>
    <row r="366">
      <c r="B366" t="inlineStr">
        <is>
          <t>GLIN</t>
        </is>
      </c>
      <c r="C366" t="inlineStr">
        <is>
          <t>Ishares Ftse GBL Infrastructure (Aud Hedged) ETF</t>
        </is>
      </c>
      <c r="D366" t="inlineStr">
        <is>
          <t>AUD</t>
        </is>
      </c>
      <c r="E366" t="inlineStr">
        <is>
          <t>ASX</t>
        </is>
      </c>
    </row>
    <row r="367">
      <c r="B367" t="inlineStr">
        <is>
          <t>AAC</t>
        </is>
      </c>
      <c r="C367" t="inlineStr">
        <is>
          <t>Australian Agricultural Company Ltd</t>
        </is>
      </c>
      <c r="D367" t="inlineStr">
        <is>
          <t>AUD</t>
        </is>
      </c>
      <c r="E367" t="inlineStr">
        <is>
          <t>ASX</t>
        </is>
      </c>
    </row>
    <row r="368">
      <c r="B368" t="inlineStr">
        <is>
          <t>CKF</t>
        </is>
      </c>
      <c r="C368" t="inlineStr">
        <is>
          <t>Collins Foods Ltd</t>
        </is>
      </c>
      <c r="D368" t="inlineStr">
        <is>
          <t>AUD</t>
        </is>
      </c>
      <c r="E368" t="inlineStr">
        <is>
          <t>ASX</t>
        </is>
      </c>
    </row>
    <row r="369">
      <c r="B369" t="inlineStr">
        <is>
          <t>AASF</t>
        </is>
      </c>
      <c r="C369" t="inlineStr">
        <is>
          <t>Airlie Australian Share Fund - Active ETF</t>
        </is>
      </c>
      <c r="D369" t="inlineStr">
        <is>
          <t>AUD</t>
        </is>
      </c>
      <c r="E369" t="inlineStr">
        <is>
          <t>ASX</t>
        </is>
      </c>
    </row>
    <row r="370">
      <c r="B370" t="inlineStr">
        <is>
          <t>DJW</t>
        </is>
      </c>
      <c r="C370" t="inlineStr">
        <is>
          <t>Djerriwarrh Investments Ltd</t>
        </is>
      </c>
      <c r="D370" t="inlineStr">
        <is>
          <t>AUD</t>
        </is>
      </c>
      <c r="E370" t="inlineStr">
        <is>
          <t>ASX</t>
        </is>
      </c>
    </row>
    <row r="371">
      <c r="B371" t="inlineStr">
        <is>
          <t>VIF</t>
        </is>
      </c>
      <c r="C371" t="inlineStr">
        <is>
          <t>Vanguard International Fixed Interest INDEX (Hedged) ETF</t>
        </is>
      </c>
      <c r="D371" t="inlineStr">
        <is>
          <t>AUD</t>
        </is>
      </c>
      <c r="E371" t="inlineStr">
        <is>
          <t>ASX</t>
        </is>
      </c>
    </row>
    <row r="372">
      <c r="B372" t="inlineStr">
        <is>
          <t>BOT</t>
        </is>
      </c>
      <c r="C372" t="inlineStr">
        <is>
          <t>Botanix Pharmaceuticals Ltd</t>
        </is>
      </c>
      <c r="D372" t="inlineStr">
        <is>
          <t>AUD</t>
        </is>
      </c>
      <c r="E372" t="inlineStr">
        <is>
          <t>ASX</t>
        </is>
      </c>
    </row>
    <row r="373">
      <c r="B373" t="inlineStr">
        <is>
          <t>MYR</t>
        </is>
      </c>
      <c r="C373" t="inlineStr">
        <is>
          <t>Myer Holdings Ltd</t>
        </is>
      </c>
      <c r="D373" t="inlineStr">
        <is>
          <t>AUD</t>
        </is>
      </c>
      <c r="E373" t="inlineStr">
        <is>
          <t>ASX</t>
        </is>
      </c>
    </row>
    <row r="374">
      <c r="B374" t="inlineStr">
        <is>
          <t>CIN</t>
        </is>
      </c>
      <c r="C374" t="inlineStr">
        <is>
          <t>Carlton Investments Ltd</t>
        </is>
      </c>
      <c r="D374" t="inlineStr">
        <is>
          <t>AUD</t>
        </is>
      </c>
      <c r="E374" t="inlineStr">
        <is>
          <t>ASX</t>
        </is>
      </c>
    </row>
    <row r="375">
      <c r="B375" t="inlineStr">
        <is>
          <t>IAA</t>
        </is>
      </c>
      <c r="C375" t="inlineStr">
        <is>
          <t>Ishares Asia 50 ETF</t>
        </is>
      </c>
      <c r="D375" t="inlineStr">
        <is>
          <t>AUD</t>
        </is>
      </c>
      <c r="E375" t="inlineStr">
        <is>
          <t>ASX</t>
        </is>
      </c>
    </row>
    <row r="376">
      <c r="B376" t="inlineStr">
        <is>
          <t>PWH</t>
        </is>
      </c>
      <c r="C376" t="inlineStr">
        <is>
          <t>PWR Holdings Ltd</t>
        </is>
      </c>
      <c r="D376" t="inlineStr">
        <is>
          <t>AUD</t>
        </is>
      </c>
      <c r="E376" t="inlineStr">
        <is>
          <t>ASX</t>
        </is>
      </c>
    </row>
    <row r="377">
      <c r="B377" t="inlineStr">
        <is>
          <t>PGC</t>
        </is>
      </c>
      <c r="C377" t="inlineStr">
        <is>
          <t>Paragon Care Ltd</t>
        </is>
      </c>
      <c r="D377" t="inlineStr">
        <is>
          <t>AUD</t>
        </is>
      </c>
      <c r="E377" t="inlineStr">
        <is>
          <t>ASX</t>
        </is>
      </c>
    </row>
    <row r="378">
      <c r="B378" t="inlineStr">
        <is>
          <t>WGB</t>
        </is>
      </c>
      <c r="C378" t="inlineStr">
        <is>
          <t>Wam Global Ltd</t>
        </is>
      </c>
      <c r="D378" t="inlineStr">
        <is>
          <t>AUD</t>
        </is>
      </c>
      <c r="E378" t="inlineStr">
        <is>
          <t>ASX</t>
        </is>
      </c>
    </row>
    <row r="379">
      <c r="B379" t="inlineStr">
        <is>
          <t>MQGPF</t>
        </is>
      </c>
      <c r="C379" t="inlineStr">
        <is>
          <t>Macquarie Group Ltd</t>
        </is>
      </c>
      <c r="D379" t="inlineStr">
        <is>
          <t>AUD</t>
        </is>
      </c>
      <c r="E379" t="inlineStr">
        <is>
          <t>ASX</t>
        </is>
      </c>
    </row>
    <row r="380">
      <c r="B380" t="inlineStr">
        <is>
          <t>CYL</t>
        </is>
      </c>
      <c r="C380" t="inlineStr">
        <is>
          <t>Catalyst Metals Ltd</t>
        </is>
      </c>
      <c r="D380" t="inlineStr">
        <is>
          <t>AUD</t>
        </is>
      </c>
      <c r="E380" t="inlineStr">
        <is>
          <t>ASX</t>
        </is>
      </c>
    </row>
    <row r="381">
      <c r="B381" t="inlineStr">
        <is>
          <t>JIN</t>
        </is>
      </c>
      <c r="C381" t="inlineStr">
        <is>
          <t>Jumbo Interactive Ltd</t>
        </is>
      </c>
      <c r="D381" t="inlineStr">
        <is>
          <t>AUD</t>
        </is>
      </c>
      <c r="E381" t="inlineStr">
        <is>
          <t>ASX</t>
        </is>
      </c>
    </row>
    <row r="382">
      <c r="B382" t="inlineStr">
        <is>
          <t>PFP</t>
        </is>
      </c>
      <c r="C382" t="inlineStr">
        <is>
          <t>Propel Funeral Partners Ltd</t>
        </is>
      </c>
      <c r="D382" t="inlineStr">
        <is>
          <t>AUD</t>
        </is>
      </c>
      <c r="E382" t="inlineStr">
        <is>
          <t>ASX</t>
        </is>
      </c>
    </row>
    <row r="383">
      <c r="B383" t="inlineStr">
        <is>
          <t>NGI</t>
        </is>
      </c>
      <c r="C383" t="inlineStr">
        <is>
          <t>Navigator Global Investments Ltd</t>
        </is>
      </c>
      <c r="D383" t="inlineStr">
        <is>
          <t>AUD</t>
        </is>
      </c>
      <c r="E383" t="inlineStr">
        <is>
          <t>ASX</t>
        </is>
      </c>
    </row>
    <row r="384">
      <c r="B384" t="inlineStr">
        <is>
          <t>BCI</t>
        </is>
      </c>
      <c r="C384" t="inlineStr">
        <is>
          <t>BCI Minerals Ltd</t>
        </is>
      </c>
      <c r="D384" t="inlineStr">
        <is>
          <t>AUD</t>
        </is>
      </c>
      <c r="E384" t="inlineStr">
        <is>
          <t>ASX</t>
        </is>
      </c>
    </row>
    <row r="385">
      <c r="B385" t="inlineStr">
        <is>
          <t>QAL</t>
        </is>
      </c>
      <c r="C385" t="inlineStr">
        <is>
          <t>Qualitas Ltd</t>
        </is>
      </c>
      <c r="D385" t="inlineStr">
        <is>
          <t>AUD</t>
        </is>
      </c>
      <c r="E385" t="inlineStr">
        <is>
          <t>ASX</t>
        </is>
      </c>
    </row>
    <row r="386">
      <c r="B386" t="inlineStr">
        <is>
          <t>BNDS</t>
        </is>
      </c>
      <c r="C386" t="inlineStr">
        <is>
          <t>Betashares Western Asset Aus Bond Active ETF</t>
        </is>
      </c>
      <c r="D386" t="inlineStr">
        <is>
          <t>AUD</t>
        </is>
      </c>
      <c r="E386" t="inlineStr">
        <is>
          <t>ASX</t>
        </is>
      </c>
    </row>
    <row r="387">
      <c r="B387" t="inlineStr">
        <is>
          <t>IJR</t>
        </is>
      </c>
      <c r="C387" t="inlineStr">
        <is>
          <t>Ishares S&amp;P Small-Cap ETF</t>
        </is>
      </c>
      <c r="D387" t="inlineStr">
        <is>
          <t>AUD</t>
        </is>
      </c>
      <c r="E387" t="inlineStr">
        <is>
          <t>ASX</t>
        </is>
      </c>
    </row>
    <row r="388">
      <c r="B388" t="inlineStr">
        <is>
          <t>QRI</t>
        </is>
      </c>
      <c r="C388" t="inlineStr">
        <is>
          <t>Qualitas Real Estate Income Fund</t>
        </is>
      </c>
      <c r="D388" t="inlineStr">
        <is>
          <t>AUD</t>
        </is>
      </c>
      <c r="E388" t="inlineStr">
        <is>
          <t>ASX</t>
        </is>
      </c>
    </row>
    <row r="389">
      <c r="B389" t="inlineStr">
        <is>
          <t>BRN</t>
        </is>
      </c>
      <c r="C389" t="inlineStr">
        <is>
          <t>Brainchip Holdings Ltd</t>
        </is>
      </c>
      <c r="D389" t="inlineStr">
        <is>
          <t>AUD</t>
        </is>
      </c>
      <c r="E389" t="inlineStr">
        <is>
          <t>ASX</t>
        </is>
      </c>
    </row>
    <row r="390">
      <c r="B390" t="inlineStr">
        <is>
          <t>QUS</t>
        </is>
      </c>
      <c r="C390" t="inlineStr">
        <is>
          <t>Betashares S&amp;P 500 EQUAL Weight ETF</t>
        </is>
      </c>
      <c r="D390" t="inlineStr">
        <is>
          <t>AUD</t>
        </is>
      </c>
      <c r="E390" t="inlineStr">
        <is>
          <t>ASX</t>
        </is>
      </c>
    </row>
    <row r="391">
      <c r="B391" t="inlineStr">
        <is>
          <t>XALG</t>
        </is>
      </c>
      <c r="C391" t="inlineStr">
        <is>
          <t>Alphinity Global Equity Fund - Active ETF</t>
        </is>
      </c>
      <c r="D391" t="inlineStr">
        <is>
          <t>AUD</t>
        </is>
      </c>
      <c r="E391" t="inlineStr">
        <is>
          <t>ASX</t>
        </is>
      </c>
    </row>
    <row r="392">
      <c r="B392" t="inlineStr">
        <is>
          <t>SXG</t>
        </is>
      </c>
      <c r="C392" t="inlineStr">
        <is>
          <t>Southern Cross Gold Ltd</t>
        </is>
      </c>
      <c r="D392" t="inlineStr">
        <is>
          <t>AUD</t>
        </is>
      </c>
      <c r="E392" t="inlineStr">
        <is>
          <t>ASX</t>
        </is>
      </c>
    </row>
    <row r="393">
      <c r="B393" t="inlineStr">
        <is>
          <t>KKC</t>
        </is>
      </c>
      <c r="C393" t="inlineStr">
        <is>
          <t>KKR Credit Income Fund</t>
        </is>
      </c>
      <c r="D393" t="inlineStr">
        <is>
          <t>AUD</t>
        </is>
      </c>
      <c r="E393" t="inlineStr">
        <is>
          <t>ASX</t>
        </is>
      </c>
    </row>
    <row r="394">
      <c r="B394" t="inlineStr">
        <is>
          <t>USTB</t>
        </is>
      </c>
      <c r="C394" t="inlineStr">
        <is>
          <t>Global X US Treasury Bond ETF (Currency Hedged)</t>
        </is>
      </c>
      <c r="D394" t="inlineStr">
        <is>
          <t>AUD</t>
        </is>
      </c>
      <c r="E394" t="inlineStr">
        <is>
          <t>ASX</t>
        </is>
      </c>
    </row>
    <row r="395">
      <c r="B395" t="inlineStr">
        <is>
          <t>AGVT</t>
        </is>
      </c>
      <c r="C395" t="inlineStr">
        <is>
          <t>Betashares Australian Government Bond ETF</t>
        </is>
      </c>
      <c r="D395" t="inlineStr">
        <is>
          <t>AUD</t>
        </is>
      </c>
      <c r="E395" t="inlineStr">
        <is>
          <t>ASX</t>
        </is>
      </c>
    </row>
    <row r="396">
      <c r="B396" t="inlineStr">
        <is>
          <t>FLOT</t>
        </is>
      </c>
      <c r="C396" t="inlineStr">
        <is>
          <t>Vaneck Australian Floating Rate ETF</t>
        </is>
      </c>
      <c r="D396" t="inlineStr">
        <is>
          <t>AUD</t>
        </is>
      </c>
      <c r="E396" t="inlineStr">
        <is>
          <t>ASX</t>
        </is>
      </c>
    </row>
    <row r="397">
      <c r="B397" t="inlineStr">
        <is>
          <t>MQGPE</t>
        </is>
      </c>
      <c r="C397" t="inlineStr">
        <is>
          <t>Macquarie Group Ltd</t>
        </is>
      </c>
      <c r="D397" t="inlineStr">
        <is>
          <t>AUD</t>
        </is>
      </c>
      <c r="E397" t="inlineStr">
        <is>
          <t>ASX</t>
        </is>
      </c>
    </row>
    <row r="398">
      <c r="B398" t="inlineStr">
        <is>
          <t>IEU</t>
        </is>
      </c>
      <c r="C398" t="inlineStr">
        <is>
          <t>Ishares Europe ETF</t>
        </is>
      </c>
      <c r="D398" t="inlineStr">
        <is>
          <t>AUD</t>
        </is>
      </c>
      <c r="E398" t="inlineStr">
        <is>
          <t>ASX</t>
        </is>
      </c>
    </row>
    <row r="399">
      <c r="B399" t="inlineStr">
        <is>
          <t>SFY</t>
        </is>
      </c>
      <c r="C399" t="inlineStr">
        <is>
          <t>SPDR S&amp;P/ASX 50 Fund</t>
        </is>
      </c>
      <c r="D399" t="inlineStr">
        <is>
          <t>AUD</t>
        </is>
      </c>
      <c r="E399" t="inlineStr">
        <is>
          <t>ASX</t>
        </is>
      </c>
    </row>
    <row r="400">
      <c r="B400" t="inlineStr">
        <is>
          <t>QAU</t>
        </is>
      </c>
      <c r="C400" t="inlineStr">
        <is>
          <t>Betashares Gold Bullion ETF - Currency Hedged</t>
        </is>
      </c>
      <c r="D400" t="inlineStr">
        <is>
          <t>AUD</t>
        </is>
      </c>
      <c r="E400" t="inlineStr">
        <is>
          <t>ASX</t>
        </is>
      </c>
    </row>
    <row r="401">
      <c r="B401" t="inlineStr">
        <is>
          <t>VVLU</t>
        </is>
      </c>
      <c r="C401" t="inlineStr">
        <is>
          <t>Vanguard Global Value Equity Active ETF</t>
        </is>
      </c>
      <c r="D401" t="inlineStr">
        <is>
          <t>AUD</t>
        </is>
      </c>
      <c r="E401" t="inlineStr">
        <is>
          <t>ASX</t>
        </is>
      </c>
    </row>
    <row r="402">
      <c r="B402" t="inlineStr">
        <is>
          <t>HPI</t>
        </is>
      </c>
      <c r="C402" t="inlineStr">
        <is>
          <t>Hotel Property Investments</t>
        </is>
      </c>
      <c r="D402" t="inlineStr">
        <is>
          <t>AUD</t>
        </is>
      </c>
      <c r="E402" t="inlineStr">
        <is>
          <t>ASX</t>
        </is>
      </c>
    </row>
    <row r="403">
      <c r="B403" t="inlineStr">
        <is>
          <t>HM1</t>
        </is>
      </c>
      <c r="C403" t="inlineStr">
        <is>
          <t>Hearts and Minds Investments Ltd</t>
        </is>
      </c>
      <c r="D403" t="inlineStr">
        <is>
          <t>AUD</t>
        </is>
      </c>
      <c r="E403" t="inlineStr">
        <is>
          <t>ASX</t>
        </is>
      </c>
    </row>
    <row r="404">
      <c r="B404" t="inlineStr">
        <is>
          <t>IJP</t>
        </is>
      </c>
      <c r="C404" t="inlineStr">
        <is>
          <t>Ishares MSCI Japan ETF</t>
        </is>
      </c>
      <c r="D404" t="inlineStr">
        <is>
          <t>AUD</t>
        </is>
      </c>
      <c r="E404" t="inlineStr">
        <is>
          <t>ASX</t>
        </is>
      </c>
    </row>
    <row r="405">
      <c r="B405" t="inlineStr">
        <is>
          <t>QLTY</t>
        </is>
      </c>
      <c r="C405" t="inlineStr">
        <is>
          <t>Betashares Global Quality Leaders ETF</t>
        </is>
      </c>
      <c r="D405" t="inlineStr">
        <is>
          <t>AUD</t>
        </is>
      </c>
      <c r="E405" t="inlineStr">
        <is>
          <t>ASX</t>
        </is>
      </c>
    </row>
    <row r="406">
      <c r="B406" t="inlineStr">
        <is>
          <t>RF1</t>
        </is>
      </c>
      <c r="C406" t="inlineStr">
        <is>
          <t>Regal Investment Fund</t>
        </is>
      </c>
      <c r="D406" t="inlineStr">
        <is>
          <t>AUD</t>
        </is>
      </c>
      <c r="E406" t="inlineStr">
        <is>
          <t>ASX</t>
        </is>
      </c>
    </row>
    <row r="407">
      <c r="B407" t="inlineStr">
        <is>
          <t>BILL</t>
        </is>
      </c>
      <c r="C407" t="inlineStr">
        <is>
          <t>Ishares Core Cash ETF</t>
        </is>
      </c>
      <c r="D407" t="inlineStr">
        <is>
          <t>AUD</t>
        </is>
      </c>
      <c r="E407" t="inlineStr">
        <is>
          <t>ASX</t>
        </is>
      </c>
    </row>
    <row r="408">
      <c r="B408" t="inlineStr">
        <is>
          <t>ACL</t>
        </is>
      </c>
      <c r="C408" t="inlineStr">
        <is>
          <t>Australian Clinical Labs Ltd</t>
        </is>
      </c>
      <c r="D408" t="inlineStr">
        <is>
          <t>AUD</t>
        </is>
      </c>
      <c r="E408" t="inlineStr">
        <is>
          <t>ASX</t>
        </is>
      </c>
    </row>
    <row r="409">
      <c r="B409" t="inlineStr">
        <is>
          <t>BLX</t>
        </is>
      </c>
      <c r="C409" t="inlineStr">
        <is>
          <t>Beacon Lighting Group Ltd</t>
        </is>
      </c>
      <c r="D409" t="inlineStr">
        <is>
          <t>AUD</t>
        </is>
      </c>
      <c r="E409" t="inlineStr">
        <is>
          <t>ASX</t>
        </is>
      </c>
    </row>
    <row r="410">
      <c r="B410" t="inlineStr">
        <is>
          <t>MOT</t>
        </is>
      </c>
      <c r="C410" t="inlineStr">
        <is>
          <t>Metrics Income Opportunities Trust</t>
        </is>
      </c>
      <c r="D410" t="inlineStr">
        <is>
          <t>AUD</t>
        </is>
      </c>
      <c r="E410" t="inlineStr">
        <is>
          <t>ASX</t>
        </is>
      </c>
    </row>
    <row r="411">
      <c r="B411" t="inlineStr">
        <is>
          <t>TEA</t>
        </is>
      </c>
      <c r="C411" t="inlineStr">
        <is>
          <t>Tasmea Ltd</t>
        </is>
      </c>
      <c r="D411" t="inlineStr">
        <is>
          <t>AUD</t>
        </is>
      </c>
      <c r="E411" t="inlineStr">
        <is>
          <t>ASX</t>
        </is>
      </c>
    </row>
    <row r="412">
      <c r="B412" t="inlineStr">
        <is>
          <t>VDBA</t>
        </is>
      </c>
      <c r="C412" t="inlineStr">
        <is>
          <t>Vanguard Diversified Balanced INDEX ETF</t>
        </is>
      </c>
      <c r="D412" t="inlineStr">
        <is>
          <t>AUD</t>
        </is>
      </c>
      <c r="E412" t="inlineStr">
        <is>
          <t>ASX</t>
        </is>
      </c>
    </row>
    <row r="413">
      <c r="B413" t="inlineStr">
        <is>
          <t>ILC</t>
        </is>
      </c>
      <c r="C413" t="inlineStr">
        <is>
          <t>Ishares S&amp;P/ASX 20 ETF</t>
        </is>
      </c>
      <c r="D413" t="inlineStr">
        <is>
          <t>AUD</t>
        </is>
      </c>
      <c r="E413" t="inlineStr">
        <is>
          <t>ASX</t>
        </is>
      </c>
    </row>
    <row r="414">
      <c r="B414" t="inlineStr">
        <is>
          <t>COF</t>
        </is>
      </c>
      <c r="C414" t="inlineStr">
        <is>
          <t>Centuria Office REIT</t>
        </is>
      </c>
      <c r="D414" t="inlineStr">
        <is>
          <t>AUD</t>
        </is>
      </c>
      <c r="E414" t="inlineStr">
        <is>
          <t>ASX</t>
        </is>
      </c>
    </row>
    <row r="415">
      <c r="B415" t="inlineStr">
        <is>
          <t>VGL</t>
        </is>
      </c>
      <c r="C415" t="inlineStr">
        <is>
          <t>Vista Group International Ltd</t>
        </is>
      </c>
      <c r="D415" t="inlineStr">
        <is>
          <t>AUD</t>
        </is>
      </c>
      <c r="E415" t="inlineStr">
        <is>
          <t>ASX</t>
        </is>
      </c>
    </row>
    <row r="416">
      <c r="B416" t="inlineStr">
        <is>
          <t>SGLLV</t>
        </is>
      </c>
      <c r="C416" t="inlineStr">
        <is>
          <t>Ricegrowers Ltd</t>
        </is>
      </c>
      <c r="D416" t="inlineStr">
        <is>
          <t>AUD</t>
        </is>
      </c>
      <c r="E416" t="inlineStr">
        <is>
          <t>ASX</t>
        </is>
      </c>
    </row>
    <row r="417">
      <c r="B417" t="inlineStr">
        <is>
          <t>FRAR</t>
        </is>
      </c>
      <c r="C417" t="inlineStr">
        <is>
          <t>Franklin Aust Abs Return Bond Fund (Managed Fund)</t>
        </is>
      </c>
      <c r="D417" t="inlineStr">
        <is>
          <t>AUD</t>
        </is>
      </c>
      <c r="E417" t="inlineStr">
        <is>
          <t>ASX</t>
        </is>
      </c>
    </row>
    <row r="418">
      <c r="B418" t="inlineStr">
        <is>
          <t>MAC</t>
        </is>
      </c>
      <c r="C418" t="inlineStr">
        <is>
          <t>MAC Copper Ltd</t>
        </is>
      </c>
      <c r="D418" t="inlineStr">
        <is>
          <t>AUD</t>
        </is>
      </c>
      <c r="E418" t="inlineStr">
        <is>
          <t>ASX</t>
        </is>
      </c>
    </row>
    <row r="419">
      <c r="B419" t="inlineStr">
        <is>
          <t>MBLPD</t>
        </is>
      </c>
      <c r="C419" t="inlineStr">
        <is>
          <t>Macquarie Bank Ltd</t>
        </is>
      </c>
      <c r="D419" t="inlineStr">
        <is>
          <t>AUD</t>
        </is>
      </c>
      <c r="E419" t="inlineStr">
        <is>
          <t>ASX</t>
        </is>
      </c>
    </row>
    <row r="420">
      <c r="B420" t="inlineStr">
        <is>
          <t>MAH</t>
        </is>
      </c>
      <c r="C420" t="inlineStr">
        <is>
          <t>Macmahon Holdings Ltd</t>
        </is>
      </c>
      <c r="D420" t="inlineStr">
        <is>
          <t>AUD</t>
        </is>
      </c>
      <c r="E420" t="inlineStr">
        <is>
          <t>ASX</t>
        </is>
      </c>
    </row>
    <row r="421">
      <c r="B421" t="inlineStr">
        <is>
          <t>PNR</t>
        </is>
      </c>
      <c r="C421" t="inlineStr">
        <is>
          <t>Pantoro Ltd</t>
        </is>
      </c>
      <c r="D421" t="inlineStr">
        <is>
          <t>AUD</t>
        </is>
      </c>
      <c r="E421" t="inlineStr">
        <is>
          <t>ASX</t>
        </is>
      </c>
    </row>
    <row r="422">
      <c r="B422" t="inlineStr">
        <is>
          <t>CVL</t>
        </is>
      </c>
      <c r="C422" t="inlineStr">
        <is>
          <t>Civmec Ltd</t>
        </is>
      </c>
      <c r="D422" t="inlineStr">
        <is>
          <t>AUD</t>
        </is>
      </c>
      <c r="E422" t="inlineStr">
        <is>
          <t>ASX</t>
        </is>
      </c>
    </row>
    <row r="423">
      <c r="B423" t="inlineStr">
        <is>
          <t>WHF</t>
        </is>
      </c>
      <c r="C423" t="inlineStr">
        <is>
          <t>Whitefield Industrials Ltd</t>
        </is>
      </c>
      <c r="D423" t="inlineStr">
        <is>
          <t>AUD</t>
        </is>
      </c>
      <c r="E423" t="inlineStr">
        <is>
          <t>ASX</t>
        </is>
      </c>
    </row>
    <row r="424">
      <c r="B424" t="inlineStr">
        <is>
          <t>STX</t>
        </is>
      </c>
      <c r="C424" t="inlineStr">
        <is>
          <t>Strike Energy Ltd</t>
        </is>
      </c>
      <c r="D424" t="inlineStr">
        <is>
          <t>AUD</t>
        </is>
      </c>
      <c r="E424" t="inlineStr">
        <is>
          <t>ASX</t>
        </is>
      </c>
    </row>
    <row r="425">
      <c r="B425" t="inlineStr">
        <is>
          <t>FPR</t>
        </is>
      </c>
      <c r="C425" t="inlineStr">
        <is>
          <t>Fleetpartners Group Ltd</t>
        </is>
      </c>
      <c r="D425" t="inlineStr">
        <is>
          <t>AUD</t>
        </is>
      </c>
      <c r="E425" t="inlineStr">
        <is>
          <t>ASX</t>
        </is>
      </c>
    </row>
    <row r="426">
      <c r="B426" t="inlineStr">
        <is>
          <t>OPH</t>
        </is>
      </c>
      <c r="C426" t="inlineStr">
        <is>
          <t>Ophir High Conviction Fund</t>
        </is>
      </c>
      <c r="D426" t="inlineStr">
        <is>
          <t>AUD</t>
        </is>
      </c>
      <c r="E426" t="inlineStr">
        <is>
          <t>ASX</t>
        </is>
      </c>
    </row>
    <row r="427">
      <c r="B427" t="inlineStr">
        <is>
          <t>URW</t>
        </is>
      </c>
      <c r="C427" t="inlineStr">
        <is>
          <t>Unibail-Rodamco-Westfield</t>
        </is>
      </c>
      <c r="D427" t="inlineStr">
        <is>
          <t>AUD</t>
        </is>
      </c>
      <c r="E427" t="inlineStr">
        <is>
          <t>ASX</t>
        </is>
      </c>
    </row>
    <row r="428">
      <c r="B428" t="inlineStr">
        <is>
          <t>MBLPC</t>
        </is>
      </c>
      <c r="C428" t="inlineStr">
        <is>
          <t>Macquarie Bank Ltd</t>
        </is>
      </c>
      <c r="D428" t="inlineStr">
        <is>
          <t>AUD</t>
        </is>
      </c>
      <c r="E428" t="inlineStr">
        <is>
          <t>ASX</t>
        </is>
      </c>
    </row>
    <row r="429">
      <c r="B429" t="inlineStr">
        <is>
          <t>MIR</t>
        </is>
      </c>
      <c r="C429" t="inlineStr">
        <is>
          <t>Mirrabooka Investments Ltd</t>
        </is>
      </c>
      <c r="D429" t="inlineStr">
        <is>
          <t>AUD</t>
        </is>
      </c>
      <c r="E429" t="inlineStr">
        <is>
          <t>ASX</t>
        </is>
      </c>
    </row>
    <row r="430">
      <c r="B430" t="inlineStr">
        <is>
          <t>LPGD</t>
        </is>
      </c>
      <c r="C430" t="inlineStr">
        <is>
          <t>Loftus Peak Global Disruption Active ETF</t>
        </is>
      </c>
      <c r="D430" t="inlineStr">
        <is>
          <t>AUD</t>
        </is>
      </c>
      <c r="E430" t="inlineStr">
        <is>
          <t>ASX</t>
        </is>
      </c>
    </row>
    <row r="431">
      <c r="B431" t="inlineStr">
        <is>
          <t>GWA</t>
        </is>
      </c>
      <c r="C431" t="inlineStr">
        <is>
          <t>GWA Group Ltd</t>
        </is>
      </c>
      <c r="D431" t="inlineStr">
        <is>
          <t>AUD</t>
        </is>
      </c>
      <c r="E431" t="inlineStr">
        <is>
          <t>ASX</t>
        </is>
      </c>
    </row>
    <row r="432">
      <c r="B432" t="inlineStr">
        <is>
          <t>PPC</t>
        </is>
      </c>
      <c r="C432" t="inlineStr">
        <is>
          <t>Peet Ltd</t>
        </is>
      </c>
      <c r="D432" t="inlineStr">
        <is>
          <t>AUD</t>
        </is>
      </c>
      <c r="E432" t="inlineStr">
        <is>
          <t>ASX</t>
        </is>
      </c>
    </row>
    <row r="433">
      <c r="B433" t="inlineStr">
        <is>
          <t>DVP</t>
        </is>
      </c>
      <c r="C433" t="inlineStr">
        <is>
          <t>Develop Global Ltd</t>
        </is>
      </c>
      <c r="D433" t="inlineStr">
        <is>
          <t>AUD</t>
        </is>
      </c>
      <c r="E433" t="inlineStr">
        <is>
          <t>ASX</t>
        </is>
      </c>
    </row>
    <row r="434">
      <c r="B434" t="inlineStr">
        <is>
          <t>VACF</t>
        </is>
      </c>
      <c r="C434" t="inlineStr">
        <is>
          <t>Vanguard Australian Corp Fixed Interest INDEX ETF</t>
        </is>
      </c>
      <c r="D434" t="inlineStr">
        <is>
          <t>AUD</t>
        </is>
      </c>
      <c r="E434" t="inlineStr">
        <is>
          <t>ASX</t>
        </is>
      </c>
    </row>
    <row r="435">
      <c r="B435" t="inlineStr">
        <is>
          <t>QOZ</t>
        </is>
      </c>
      <c r="C435" t="inlineStr">
        <is>
          <t>Betashares Ftse Rafi Australia 200 ETF</t>
        </is>
      </c>
      <c r="D435" t="inlineStr">
        <is>
          <t>AUD</t>
        </is>
      </c>
      <c r="E435" t="inlineStr">
        <is>
          <t>ASX</t>
        </is>
      </c>
    </row>
    <row r="436">
      <c r="B436" t="inlineStr">
        <is>
          <t>OML</t>
        </is>
      </c>
      <c r="C436" t="inlineStr">
        <is>
          <t>Ooh!Media Ltd</t>
        </is>
      </c>
      <c r="D436" t="inlineStr">
        <is>
          <t>AUD</t>
        </is>
      </c>
      <c r="E436" t="inlineStr">
        <is>
          <t>ASX</t>
        </is>
      </c>
    </row>
    <row r="437">
      <c r="B437" t="inlineStr">
        <is>
          <t>SHV</t>
        </is>
      </c>
      <c r="C437" t="inlineStr">
        <is>
          <t>Select Harvests Ltd</t>
        </is>
      </c>
      <c r="D437" t="inlineStr">
        <is>
          <t>AUD</t>
        </is>
      </c>
      <c r="E437" t="inlineStr">
        <is>
          <t>ASX</t>
        </is>
      </c>
    </row>
    <row r="438">
      <c r="B438" t="inlineStr">
        <is>
          <t>UNI</t>
        </is>
      </c>
      <c r="C438" t="inlineStr">
        <is>
          <t>Universal Store Holdings Ltd</t>
        </is>
      </c>
      <c r="D438" t="inlineStr">
        <is>
          <t>AUD</t>
        </is>
      </c>
      <c r="E438" t="inlineStr">
        <is>
          <t>ASX</t>
        </is>
      </c>
    </row>
    <row r="439">
      <c r="B439" t="inlineStr">
        <is>
          <t>APX</t>
        </is>
      </c>
      <c r="C439" t="inlineStr">
        <is>
          <t>Appen Ltd</t>
        </is>
      </c>
      <c r="D439" t="inlineStr">
        <is>
          <t>AUD</t>
        </is>
      </c>
      <c r="E439" t="inlineStr">
        <is>
          <t>ASX</t>
        </is>
      </c>
    </row>
    <row r="440">
      <c r="B440" t="inlineStr">
        <is>
          <t>RFF</t>
        </is>
      </c>
      <c r="C440" t="inlineStr">
        <is>
          <t>Rural Funds Group</t>
        </is>
      </c>
      <c r="D440" t="inlineStr">
        <is>
          <t>AUD</t>
        </is>
      </c>
      <c r="E440" t="inlineStr">
        <is>
          <t>ASX</t>
        </is>
      </c>
    </row>
    <row r="441">
      <c r="B441" t="inlineStr">
        <is>
          <t>PDI</t>
        </is>
      </c>
      <c r="C441" t="inlineStr">
        <is>
          <t>Predictive Discovery Ltd</t>
        </is>
      </c>
      <c r="D441" t="inlineStr">
        <is>
          <t>AUD</t>
        </is>
      </c>
      <c r="E441" t="inlineStr">
        <is>
          <t>ASX</t>
        </is>
      </c>
    </row>
    <row r="442">
      <c r="B442" t="inlineStr">
        <is>
          <t>PPM</t>
        </is>
      </c>
      <c r="C442" t="inlineStr">
        <is>
          <t>Pepper Money Ltd</t>
        </is>
      </c>
      <c r="D442" t="inlineStr">
        <is>
          <t>AUD</t>
        </is>
      </c>
      <c r="E442" t="inlineStr">
        <is>
          <t>ASX</t>
        </is>
      </c>
    </row>
    <row r="443">
      <c r="B443" t="inlineStr">
        <is>
          <t>PAC</t>
        </is>
      </c>
      <c r="C443" t="inlineStr">
        <is>
          <t>Pacific Current Group Ltd</t>
        </is>
      </c>
      <c r="D443" t="inlineStr">
        <is>
          <t>AUD</t>
        </is>
      </c>
      <c r="E443" t="inlineStr">
        <is>
          <t>ASX</t>
        </is>
      </c>
    </row>
    <row r="444">
      <c r="B444" t="inlineStr">
        <is>
          <t>AD8</t>
        </is>
      </c>
      <c r="C444" t="inlineStr">
        <is>
          <t>Audinate Group Ltd</t>
        </is>
      </c>
      <c r="D444" t="inlineStr">
        <is>
          <t>AUD</t>
        </is>
      </c>
      <c r="E444" t="inlineStr">
        <is>
          <t>ASX</t>
        </is>
      </c>
    </row>
    <row r="445">
      <c r="B445" t="inlineStr">
        <is>
          <t>HETH</t>
        </is>
      </c>
      <c r="C445" t="inlineStr">
        <is>
          <t>Betashares Global Sustainability Leaders ETF - CH</t>
        </is>
      </c>
      <c r="D445" t="inlineStr">
        <is>
          <t>AUD</t>
        </is>
      </c>
      <c r="E445" t="inlineStr">
        <is>
          <t>ASX</t>
        </is>
      </c>
    </row>
    <row r="446">
      <c r="B446" t="inlineStr">
        <is>
          <t>LLL</t>
        </is>
      </c>
      <c r="C446" t="inlineStr">
        <is>
          <t>Leo Lithium Ltd</t>
        </is>
      </c>
      <c r="D446" t="inlineStr">
        <is>
          <t>AUD</t>
        </is>
      </c>
      <c r="E446" t="inlineStr">
        <is>
          <t>ASX</t>
        </is>
      </c>
    </row>
    <row r="447">
      <c r="B447" t="inlineStr">
        <is>
          <t>EBR</t>
        </is>
      </c>
      <c r="C447" t="inlineStr">
        <is>
          <t>EBR Systems Inc</t>
        </is>
      </c>
      <c r="D447" t="inlineStr">
        <is>
          <t>AUD</t>
        </is>
      </c>
      <c r="E447" t="inlineStr">
        <is>
          <t>ASX</t>
        </is>
      </c>
    </row>
    <row r="448">
      <c r="B448" t="inlineStr">
        <is>
          <t>RUL</t>
        </is>
      </c>
      <c r="C448" t="inlineStr">
        <is>
          <t>Rpmglobal Holdings Ltd</t>
        </is>
      </c>
      <c r="D448" t="inlineStr">
        <is>
          <t>AUD</t>
        </is>
      </c>
      <c r="E448" t="inlineStr">
        <is>
          <t>ASX</t>
        </is>
      </c>
    </row>
    <row r="449">
      <c r="B449" t="inlineStr">
        <is>
          <t>MICH</t>
        </is>
      </c>
      <c r="C449" t="inlineStr">
        <is>
          <t>Magellan Infra Fund (Currency Hedged) - Active ETF</t>
        </is>
      </c>
      <c r="D449" t="inlineStr">
        <is>
          <t>AUD</t>
        </is>
      </c>
      <c r="E449" t="inlineStr">
        <is>
          <t>ASX</t>
        </is>
      </c>
    </row>
    <row r="450">
      <c r="B450" t="inlineStr">
        <is>
          <t>LOT</t>
        </is>
      </c>
      <c r="C450" t="inlineStr">
        <is>
          <t>Lotus Resources Ltd</t>
        </is>
      </c>
      <c r="D450" t="inlineStr">
        <is>
          <t>AUD</t>
        </is>
      </c>
      <c r="E450" t="inlineStr">
        <is>
          <t>ASX</t>
        </is>
      </c>
    </row>
    <row r="451">
      <c r="B451" t="inlineStr">
        <is>
          <t>GDX</t>
        </is>
      </c>
      <c r="C451" t="inlineStr">
        <is>
          <t>Vaneck Gold Miners ETF</t>
        </is>
      </c>
      <c r="D451" t="inlineStr">
        <is>
          <t>AUD</t>
        </is>
      </c>
      <c r="E451" t="inlineStr">
        <is>
          <t>ASX</t>
        </is>
      </c>
    </row>
    <row r="452">
      <c r="B452" t="inlineStr">
        <is>
          <t>C79</t>
        </is>
      </c>
      <c r="C452" t="inlineStr">
        <is>
          <t>Chrysos Corporation Ltd</t>
        </is>
      </c>
      <c r="D452" t="inlineStr">
        <is>
          <t>AUD</t>
        </is>
      </c>
      <c r="E452" t="inlineStr">
        <is>
          <t>ASX</t>
        </is>
      </c>
    </row>
    <row r="453">
      <c r="B453" t="inlineStr">
        <is>
          <t>FRGG</t>
        </is>
      </c>
      <c r="C453" t="inlineStr">
        <is>
          <t>Franklin Global Growth Fund (Managed Fund)</t>
        </is>
      </c>
      <c r="D453" t="inlineStr">
        <is>
          <t>AUD</t>
        </is>
      </c>
      <c r="E453" t="inlineStr">
        <is>
          <t>ASX</t>
        </is>
      </c>
    </row>
    <row r="454">
      <c r="B454" t="inlineStr">
        <is>
          <t>FCL</t>
        </is>
      </c>
      <c r="C454" t="inlineStr">
        <is>
          <t>Fineos Corporation Holdings Plc</t>
        </is>
      </c>
      <c r="D454" t="inlineStr">
        <is>
          <t>AUD</t>
        </is>
      </c>
      <c r="E454" t="inlineStr">
        <is>
          <t>ASX</t>
        </is>
      </c>
    </row>
    <row r="455">
      <c r="B455" t="inlineStr">
        <is>
          <t>CUV</t>
        </is>
      </c>
      <c r="C455" t="inlineStr">
        <is>
          <t>Clinuvel Pharmaceuticals Ltd</t>
        </is>
      </c>
      <c r="D455" t="inlineStr">
        <is>
          <t>AUD</t>
        </is>
      </c>
      <c r="E455" t="inlineStr">
        <is>
          <t>ASX</t>
        </is>
      </c>
    </row>
    <row r="456">
      <c r="B456" t="inlineStr">
        <is>
          <t>DGSM</t>
        </is>
      </c>
      <c r="C456" t="inlineStr">
        <is>
          <t>Dimensional Global Small Company - Active ETF</t>
        </is>
      </c>
      <c r="D456" t="inlineStr">
        <is>
          <t>AUD</t>
        </is>
      </c>
      <c r="E456" t="inlineStr">
        <is>
          <t>ASX</t>
        </is>
      </c>
    </row>
    <row r="457">
      <c r="B457" t="inlineStr">
        <is>
          <t>DHHF</t>
        </is>
      </c>
      <c r="C457" t="inlineStr">
        <is>
          <t>Betashares Diversified All Growth ETF</t>
        </is>
      </c>
      <c r="D457" t="inlineStr">
        <is>
          <t>AUD</t>
        </is>
      </c>
      <c r="E457" t="inlineStr">
        <is>
          <t>ASX</t>
        </is>
      </c>
    </row>
    <row r="458">
      <c r="B458" t="inlineStr">
        <is>
          <t>QOR</t>
        </is>
      </c>
      <c r="C458" t="inlineStr">
        <is>
          <t>QORIA Ltd</t>
        </is>
      </c>
      <c r="D458" t="inlineStr">
        <is>
          <t>AUD</t>
        </is>
      </c>
      <c r="E458" t="inlineStr">
        <is>
          <t>ASX</t>
        </is>
      </c>
    </row>
    <row r="459">
      <c r="B459" t="inlineStr">
        <is>
          <t>ASIA</t>
        </is>
      </c>
      <c r="C459" t="inlineStr">
        <is>
          <t>Betashares Asia Technology Tigers ETF</t>
        </is>
      </c>
      <c r="D459" t="inlineStr">
        <is>
          <t>AUD</t>
        </is>
      </c>
      <c r="E459" t="inlineStr">
        <is>
          <t>ASX</t>
        </is>
      </c>
    </row>
    <row r="460">
      <c r="B460" t="inlineStr">
        <is>
          <t>MVA</t>
        </is>
      </c>
      <c r="C460" t="inlineStr">
        <is>
          <t>Vaneck Australian Property ETF</t>
        </is>
      </c>
      <c r="D460" t="inlineStr">
        <is>
          <t>AUD</t>
        </is>
      </c>
      <c r="E460" t="inlineStr">
        <is>
          <t>ASX</t>
        </is>
      </c>
    </row>
    <row r="461">
      <c r="B461" t="inlineStr">
        <is>
          <t>AEF</t>
        </is>
      </c>
      <c r="C461" t="inlineStr">
        <is>
          <t>Australian Ethical Investment Ltd</t>
        </is>
      </c>
      <c r="D461" t="inlineStr">
        <is>
          <t>AUD</t>
        </is>
      </c>
      <c r="E461" t="inlineStr">
        <is>
          <t>ASX</t>
        </is>
      </c>
    </row>
    <row r="462">
      <c r="B462" t="inlineStr">
        <is>
          <t>DRO</t>
        </is>
      </c>
      <c r="C462" t="inlineStr">
        <is>
          <t>Droneshield Ltd</t>
        </is>
      </c>
      <c r="D462" t="inlineStr">
        <is>
          <t>AUD</t>
        </is>
      </c>
      <c r="E462" t="inlineStr">
        <is>
          <t>ASX</t>
        </is>
      </c>
    </row>
    <row r="463">
      <c r="B463" t="inlineStr">
        <is>
          <t>PCI</t>
        </is>
      </c>
      <c r="C463" t="inlineStr">
        <is>
          <t>Perpetual Credit Income Trust</t>
        </is>
      </c>
      <c r="D463" t="inlineStr">
        <is>
          <t>AUD</t>
        </is>
      </c>
      <c r="E463" t="inlineStr">
        <is>
          <t>ASX</t>
        </is>
      </c>
    </row>
    <row r="464">
      <c r="B464" t="inlineStr">
        <is>
          <t>BMN</t>
        </is>
      </c>
      <c r="C464" t="inlineStr">
        <is>
          <t>Bannerman Energy Ltd</t>
        </is>
      </c>
      <c r="D464" t="inlineStr">
        <is>
          <t>AUD</t>
        </is>
      </c>
      <c r="E464" t="inlineStr">
        <is>
          <t>ASX</t>
        </is>
      </c>
    </row>
    <row r="465">
      <c r="B465" t="inlineStr">
        <is>
          <t>FGG</t>
        </is>
      </c>
      <c r="C465" t="inlineStr">
        <is>
          <t>Future Generation Global Ltd</t>
        </is>
      </c>
      <c r="D465" t="inlineStr">
        <is>
          <t>AUD</t>
        </is>
      </c>
      <c r="E465" t="inlineStr">
        <is>
          <t>ASX</t>
        </is>
      </c>
    </row>
    <row r="466">
      <c r="B466" t="inlineStr">
        <is>
          <t>IHWL</t>
        </is>
      </c>
      <c r="C466" t="inlineStr">
        <is>
          <t>Ishares Core MSCI World Ex Aus Esg (Aud Hed) ETF</t>
        </is>
      </c>
      <c r="D466" t="inlineStr">
        <is>
          <t>AUD</t>
        </is>
      </c>
      <c r="E466" t="inlineStr">
        <is>
          <t>ASX</t>
        </is>
      </c>
    </row>
    <row r="467">
      <c r="B467" t="inlineStr">
        <is>
          <t>SLF</t>
        </is>
      </c>
      <c r="C467" t="inlineStr">
        <is>
          <t>SPDR S&amp;P/ASX 200 Listed Property Fund</t>
        </is>
      </c>
      <c r="D467" t="inlineStr">
        <is>
          <t>AUD</t>
        </is>
      </c>
      <c r="E467" t="inlineStr">
        <is>
          <t>ASX</t>
        </is>
      </c>
    </row>
    <row r="468">
      <c r="B468" t="inlineStr">
        <is>
          <t>WBT</t>
        </is>
      </c>
      <c r="C468" t="inlineStr">
        <is>
          <t>Weebit Nano Ltd</t>
        </is>
      </c>
      <c r="D468" t="inlineStr">
        <is>
          <t>AUD</t>
        </is>
      </c>
      <c r="E468" t="inlineStr">
        <is>
          <t>ASX</t>
        </is>
      </c>
    </row>
    <row r="469">
      <c r="B469" t="inlineStr">
        <is>
          <t>YMAX</t>
        </is>
      </c>
      <c r="C469" t="inlineStr">
        <is>
          <t>Betashares Aus Top 20 Equity Yield MAX Fund (Managed Fund)</t>
        </is>
      </c>
      <c r="D469" t="inlineStr">
        <is>
          <t>AUD</t>
        </is>
      </c>
      <c r="E469" t="inlineStr">
        <is>
          <t>ASX</t>
        </is>
      </c>
    </row>
    <row r="470">
      <c r="B470" t="inlineStr">
        <is>
          <t>ACDC</t>
        </is>
      </c>
      <c r="C470" t="inlineStr">
        <is>
          <t>Global X Battery Tech &amp; Lithium ETF</t>
        </is>
      </c>
      <c r="D470" t="inlineStr">
        <is>
          <t>AUD</t>
        </is>
      </c>
      <c r="E470" t="inlineStr">
        <is>
          <t>ASX</t>
        </is>
      </c>
    </row>
    <row r="471">
      <c r="B471" t="inlineStr">
        <is>
          <t>IAGPE</t>
        </is>
      </c>
      <c r="C471" t="inlineStr">
        <is>
          <t>Insurance Australia Group Ltd</t>
        </is>
      </c>
      <c r="D471" t="inlineStr">
        <is>
          <t>AUD</t>
        </is>
      </c>
      <c r="E471" t="inlineStr">
        <is>
          <t>ASX</t>
        </is>
      </c>
    </row>
    <row r="472">
      <c r="B472" t="inlineStr">
        <is>
          <t>HCW</t>
        </is>
      </c>
      <c r="C472" t="inlineStr">
        <is>
          <t>Healthco Healthcare and Wellness REIT</t>
        </is>
      </c>
      <c r="D472" t="inlineStr">
        <is>
          <t>AUD</t>
        </is>
      </c>
      <c r="E472" t="inlineStr">
        <is>
          <t>ASX</t>
        </is>
      </c>
    </row>
    <row r="473">
      <c r="B473" t="inlineStr">
        <is>
          <t>BENPH</t>
        </is>
      </c>
      <c r="C473" t="inlineStr">
        <is>
          <t>Bendigo and Adelaide Bank Ltd</t>
        </is>
      </c>
      <c r="D473" t="inlineStr">
        <is>
          <t>AUD</t>
        </is>
      </c>
      <c r="E473" t="inlineStr">
        <is>
          <t>ASX</t>
        </is>
      </c>
    </row>
    <row r="474">
      <c r="B474" t="inlineStr">
        <is>
          <t>IVE</t>
        </is>
      </c>
      <c r="C474" t="inlineStr">
        <is>
          <t>Ishares MSCI Eafe ETF</t>
        </is>
      </c>
      <c r="D474" t="inlineStr">
        <is>
          <t>AUD</t>
        </is>
      </c>
      <c r="E474" t="inlineStr">
        <is>
          <t>ASX</t>
        </is>
      </c>
    </row>
    <row r="475">
      <c r="B475" t="inlineStr">
        <is>
          <t>OCA</t>
        </is>
      </c>
      <c r="C475" t="inlineStr">
        <is>
          <t>Oceania Healthcare Ltd</t>
        </is>
      </c>
      <c r="D475" t="inlineStr">
        <is>
          <t>AUD</t>
        </is>
      </c>
      <c r="E475" t="inlineStr">
        <is>
          <t>ASX</t>
        </is>
      </c>
    </row>
    <row r="476">
      <c r="B476" t="inlineStr">
        <is>
          <t>IFM</t>
        </is>
      </c>
      <c r="C476" t="inlineStr">
        <is>
          <t>Infomedia Ltd</t>
        </is>
      </c>
      <c r="D476" t="inlineStr">
        <is>
          <t>AUD</t>
        </is>
      </c>
      <c r="E476" t="inlineStr">
        <is>
          <t>ASX</t>
        </is>
      </c>
    </row>
    <row r="477">
      <c r="B477" t="inlineStr">
        <is>
          <t>BHYB</t>
        </is>
      </c>
      <c r="C477" t="inlineStr">
        <is>
          <t>Betashares Australian Major Bank Hybrids INDEX ETF</t>
        </is>
      </c>
      <c r="D477" t="inlineStr">
        <is>
          <t>AUD</t>
        </is>
      </c>
      <c r="E477" t="inlineStr">
        <is>
          <t>ASX</t>
        </is>
      </c>
    </row>
    <row r="478">
      <c r="B478" t="inlineStr">
        <is>
          <t>VETH</t>
        </is>
      </c>
      <c r="C478" t="inlineStr">
        <is>
          <t>Vanguard Ethically Conscious Australian Shares ETF</t>
        </is>
      </c>
      <c r="D478" t="inlineStr">
        <is>
          <t>AUD</t>
        </is>
      </c>
      <c r="E478" t="inlineStr">
        <is>
          <t>ASX</t>
        </is>
      </c>
    </row>
    <row r="479">
      <c r="B479" t="inlineStr">
        <is>
          <t>GEAR</t>
        </is>
      </c>
      <c r="C479" t="inlineStr">
        <is>
          <t>Betashares Geared Australian Equity Fund (Hedge Fund)</t>
        </is>
      </c>
      <c r="D479" t="inlineStr">
        <is>
          <t>AUD</t>
        </is>
      </c>
      <c r="E479" t="inlineStr">
        <is>
          <t>ASX</t>
        </is>
      </c>
    </row>
    <row r="480">
      <c r="B480" t="inlineStr">
        <is>
          <t>IHOO</t>
        </is>
      </c>
      <c r="C480" t="inlineStr">
        <is>
          <t>Ishares Global 100 Aud Hedged ETF</t>
        </is>
      </c>
      <c r="D480" t="inlineStr">
        <is>
          <t>AUD</t>
        </is>
      </c>
      <c r="E480" t="inlineStr">
        <is>
          <t>ASX</t>
        </is>
      </c>
    </row>
    <row r="481">
      <c r="B481" t="inlineStr">
        <is>
          <t>AEL</t>
        </is>
      </c>
      <c r="C481" t="inlineStr">
        <is>
          <t>Amplitude Energy Ltd</t>
        </is>
      </c>
      <c r="D481" t="inlineStr">
        <is>
          <t>AUD</t>
        </is>
      </c>
      <c r="E481" t="inlineStr">
        <is>
          <t>ASX</t>
        </is>
      </c>
    </row>
    <row r="482">
      <c r="B482" t="inlineStr">
        <is>
          <t>VISM</t>
        </is>
      </c>
      <c r="C482" t="inlineStr">
        <is>
          <t>Vanguard MSCI International Small Companies INDEX ETF</t>
        </is>
      </c>
      <c r="D482" t="inlineStr">
        <is>
          <t>AUD</t>
        </is>
      </c>
      <c r="E482" t="inlineStr">
        <is>
          <t>ASX</t>
        </is>
      </c>
    </row>
    <row r="483">
      <c r="B483" t="inlineStr">
        <is>
          <t>FGX</t>
        </is>
      </c>
      <c r="C483" t="inlineStr">
        <is>
          <t>Future Generation Australia Ltd</t>
        </is>
      </c>
      <c r="D483" t="inlineStr">
        <is>
          <t>AUD</t>
        </is>
      </c>
      <c r="E483" t="inlineStr">
        <is>
          <t>ASX</t>
        </is>
      </c>
    </row>
    <row r="484">
      <c r="B484" t="inlineStr">
        <is>
          <t>FFM</t>
        </is>
      </c>
      <c r="C484" t="inlineStr">
        <is>
          <t>Firefly Metals Ltd</t>
        </is>
      </c>
      <c r="D484" t="inlineStr">
        <is>
          <t>AUD</t>
        </is>
      </c>
      <c r="E484" t="inlineStr">
        <is>
          <t>ASX</t>
        </is>
      </c>
    </row>
    <row r="485">
      <c r="B485" t="inlineStr">
        <is>
          <t>KGN</t>
        </is>
      </c>
      <c r="C485" t="inlineStr">
        <is>
          <t>Kogan.com Ltd</t>
        </is>
      </c>
      <c r="D485" t="inlineStr">
        <is>
          <t>AUD</t>
        </is>
      </c>
      <c r="E485" t="inlineStr">
        <is>
          <t>ASX</t>
        </is>
      </c>
    </row>
    <row r="486">
      <c r="B486" t="inlineStr">
        <is>
          <t>WTN</t>
        </is>
      </c>
      <c r="C486" t="inlineStr">
        <is>
          <t>Winton Land Ltd</t>
        </is>
      </c>
      <c r="D486" t="inlineStr">
        <is>
          <t>AUD</t>
        </is>
      </c>
      <c r="E486" t="inlineStr">
        <is>
          <t>ASX</t>
        </is>
      </c>
    </row>
    <row r="487">
      <c r="B487" t="inlineStr">
        <is>
          <t>CCL</t>
        </is>
      </c>
      <c r="C487" t="inlineStr">
        <is>
          <t>Cuscal Ltd</t>
        </is>
      </c>
      <c r="D487" t="inlineStr">
        <is>
          <t>AUD</t>
        </is>
      </c>
      <c r="E487" t="inlineStr">
        <is>
          <t>ASX</t>
        </is>
      </c>
    </row>
    <row r="488">
      <c r="B488" t="inlineStr">
        <is>
          <t>PYC</t>
        </is>
      </c>
      <c r="C488" t="inlineStr">
        <is>
          <t>PYC Therapeutics Ltd</t>
        </is>
      </c>
      <c r="D488" t="inlineStr">
        <is>
          <t>AUD</t>
        </is>
      </c>
      <c r="E488" t="inlineStr">
        <is>
          <t>ASX</t>
        </is>
      </c>
    </row>
    <row r="489">
      <c r="B489" t="inlineStr">
        <is>
          <t>GNP</t>
        </is>
      </c>
      <c r="C489" t="inlineStr">
        <is>
          <t>Genusplus Group Ltd</t>
        </is>
      </c>
      <c r="D489" t="inlineStr">
        <is>
          <t>AUD</t>
        </is>
      </c>
      <c r="E489" t="inlineStr">
        <is>
          <t>ASX</t>
        </is>
      </c>
    </row>
    <row r="490">
      <c r="B490" t="inlineStr">
        <is>
          <t>SRV</t>
        </is>
      </c>
      <c r="C490" t="inlineStr">
        <is>
          <t>Servcorp Ltd</t>
        </is>
      </c>
      <c r="D490" t="inlineStr">
        <is>
          <t>AUD</t>
        </is>
      </c>
      <c r="E490" t="inlineStr">
        <is>
          <t>ASX</t>
        </is>
      </c>
    </row>
    <row r="491">
      <c r="B491" t="inlineStr">
        <is>
          <t>HNDQ</t>
        </is>
      </c>
      <c r="C491" t="inlineStr">
        <is>
          <t>Betashares Nasdaq 100 Currency Hedged ETF</t>
        </is>
      </c>
      <c r="D491" t="inlineStr">
        <is>
          <t>AUD</t>
        </is>
      </c>
      <c r="E491" t="inlineStr">
        <is>
          <t>ASX</t>
        </is>
      </c>
    </row>
    <row r="492">
      <c r="B492" t="inlineStr">
        <is>
          <t>CTT</t>
        </is>
      </c>
      <c r="C492" t="inlineStr">
        <is>
          <t>Cettire Ltd</t>
        </is>
      </c>
      <c r="D492" t="inlineStr">
        <is>
          <t>AUD</t>
        </is>
      </c>
      <c r="E492" t="inlineStr">
        <is>
          <t>ASX</t>
        </is>
      </c>
    </row>
    <row r="493">
      <c r="B493" t="inlineStr">
        <is>
          <t>KPG</t>
        </is>
      </c>
      <c r="C493" t="inlineStr">
        <is>
          <t>Kelly Partners Group Holdings Ltd</t>
        </is>
      </c>
      <c r="D493" t="inlineStr">
        <is>
          <t>AUD</t>
        </is>
      </c>
      <c r="E493" t="inlineStr">
        <is>
          <t>ASX</t>
        </is>
      </c>
    </row>
    <row r="494">
      <c r="B494" t="inlineStr">
        <is>
          <t>OZBD</t>
        </is>
      </c>
      <c r="C494" t="inlineStr">
        <is>
          <t>Betashares Australian Composite Bond ETF</t>
        </is>
      </c>
      <c r="D494" t="inlineStr">
        <is>
          <t>AUD</t>
        </is>
      </c>
      <c r="E494" t="inlineStr">
        <is>
          <t>ASX</t>
        </is>
      </c>
    </row>
    <row r="495">
      <c r="B495" t="inlineStr">
        <is>
          <t>KSC</t>
        </is>
      </c>
      <c r="C495" t="inlineStr">
        <is>
          <t>K &amp; S Corporation Ltd</t>
        </is>
      </c>
      <c r="D495" t="inlineStr">
        <is>
          <t>AUD</t>
        </is>
      </c>
      <c r="E495" t="inlineStr">
        <is>
          <t>ASX</t>
        </is>
      </c>
    </row>
    <row r="496">
      <c r="B496" t="inlineStr">
        <is>
          <t>MYS</t>
        </is>
      </c>
      <c r="C496" t="inlineStr">
        <is>
          <t>Mystate Ltd</t>
        </is>
      </c>
      <c r="D496" t="inlineStr">
        <is>
          <t>AUD</t>
        </is>
      </c>
      <c r="E496" t="inlineStr">
        <is>
          <t>ASX</t>
        </is>
      </c>
    </row>
    <row r="497">
      <c r="B497" t="inlineStr">
        <is>
          <t>APZ</t>
        </is>
      </c>
      <c r="C497" t="inlineStr">
        <is>
          <t>Aspen Group</t>
        </is>
      </c>
      <c r="D497" t="inlineStr">
        <is>
          <t>AUD</t>
        </is>
      </c>
      <c r="E497" t="inlineStr">
        <is>
          <t>ASX</t>
        </is>
      </c>
    </row>
    <row r="498">
      <c r="B498" t="inlineStr">
        <is>
          <t>IMM</t>
        </is>
      </c>
      <c r="C498" t="inlineStr">
        <is>
          <t>Immutep Ltd</t>
        </is>
      </c>
      <c r="D498" t="inlineStr">
        <is>
          <t>AUD</t>
        </is>
      </c>
      <c r="E498" t="inlineStr">
        <is>
          <t>ASX</t>
        </is>
      </c>
    </row>
    <row r="499">
      <c r="B499" t="inlineStr">
        <is>
          <t>LRS</t>
        </is>
      </c>
      <c r="C499" t="inlineStr">
        <is>
          <t>Latin Resources Ltd</t>
        </is>
      </c>
      <c r="D499" t="inlineStr">
        <is>
          <t>AUD</t>
        </is>
      </c>
      <c r="E499" t="inlineStr">
        <is>
          <t>ASX</t>
        </is>
      </c>
    </row>
    <row r="500">
      <c r="B500" t="inlineStr">
        <is>
          <t>IJH</t>
        </is>
      </c>
      <c r="C500" t="inlineStr">
        <is>
          <t>Ishares S&amp;P Mid-Cap ETF</t>
        </is>
      </c>
      <c r="D500" t="inlineStr">
        <is>
          <t>AUD</t>
        </is>
      </c>
      <c r="E500" t="inlineStr">
        <is>
          <t>ASX</t>
        </is>
      </c>
    </row>
    <row r="501">
      <c r="B501" t="inlineStr">
        <is>
          <t>VAE</t>
        </is>
      </c>
      <c r="C501" t="inlineStr">
        <is>
          <t>Vanguard Ftse Asia Ex Japan Shares INDEX ETF</t>
        </is>
      </c>
      <c r="D501" t="inlineStr">
        <is>
          <t>AUD</t>
        </is>
      </c>
      <c r="E501" t="inlineStr">
        <is>
          <t>ASX</t>
        </is>
      </c>
    </row>
    <row r="502">
      <c r="B502" t="inlineStr">
        <is>
          <t>REIT</t>
        </is>
      </c>
      <c r="C502" t="inlineStr">
        <is>
          <t>Vaneck Ftse International Property (Aud Hedged) ETF</t>
        </is>
      </c>
      <c r="D502" t="inlineStr">
        <is>
          <t>AUD</t>
        </is>
      </c>
      <c r="E502" t="inlineStr">
        <is>
          <t>ASX</t>
        </is>
      </c>
    </row>
    <row r="503">
      <c r="B503" t="inlineStr">
        <is>
          <t>FSF</t>
        </is>
      </c>
      <c r="C503" t="inlineStr">
        <is>
          <t>Fonterra Shareholders' Fund</t>
        </is>
      </c>
      <c r="D503" t="inlineStr">
        <is>
          <t>AUD</t>
        </is>
      </c>
      <c r="E503" t="inlineStr">
        <is>
          <t>ASX</t>
        </is>
      </c>
    </row>
    <row r="504">
      <c r="B504" t="inlineStr">
        <is>
          <t>CHN</t>
        </is>
      </c>
      <c r="C504" t="inlineStr">
        <is>
          <t>Chalice Mining Ltd</t>
        </is>
      </c>
      <c r="D504" t="inlineStr">
        <is>
          <t>AUD</t>
        </is>
      </c>
      <c r="E504" t="inlineStr">
        <is>
          <t>ASX</t>
        </is>
      </c>
    </row>
    <row r="505">
      <c r="B505" t="inlineStr">
        <is>
          <t>MHHT</t>
        </is>
      </c>
      <c r="C505" t="inlineStr">
        <is>
          <t>Magellan High Conviction Trust - Active ETF</t>
        </is>
      </c>
      <c r="D505" t="inlineStr">
        <is>
          <t>AUD</t>
        </is>
      </c>
      <c r="E505" t="inlineStr">
        <is>
          <t>ASX</t>
        </is>
      </c>
    </row>
    <row r="506">
      <c r="B506" t="inlineStr">
        <is>
          <t>VG1</t>
        </is>
      </c>
      <c r="C506" t="inlineStr">
        <is>
          <t>Vgi Partners Global Investments Ltd</t>
        </is>
      </c>
      <c r="D506" t="inlineStr">
        <is>
          <t>AUD</t>
        </is>
      </c>
      <c r="E506" t="inlineStr">
        <is>
          <t>ASX</t>
        </is>
      </c>
    </row>
    <row r="507">
      <c r="B507" t="inlineStr">
        <is>
          <t>MVF</t>
        </is>
      </c>
      <c r="C507" t="inlineStr">
        <is>
          <t>Monash Ivf Group Ltd</t>
        </is>
      </c>
      <c r="D507" t="inlineStr">
        <is>
          <t>AUD</t>
        </is>
      </c>
      <c r="E507" t="inlineStr">
        <is>
          <t>ASX</t>
        </is>
      </c>
    </row>
    <row r="508">
      <c r="B508" t="inlineStr">
        <is>
          <t>SX2</t>
        </is>
      </c>
      <c r="C508" t="inlineStr">
        <is>
          <t>Southern Cross Gold Consolidated Ltd</t>
        </is>
      </c>
      <c r="D508" t="inlineStr">
        <is>
          <t>AUD</t>
        </is>
      </c>
      <c r="E508" t="inlineStr">
        <is>
          <t>ASX</t>
        </is>
      </c>
    </row>
    <row r="509">
      <c r="B509" t="inlineStr">
        <is>
          <t>PIC</t>
        </is>
      </c>
      <c r="C509" t="inlineStr">
        <is>
          <t>Perpetual Equity Investment Company Ltd</t>
        </is>
      </c>
      <c r="D509" t="inlineStr">
        <is>
          <t>AUD</t>
        </is>
      </c>
      <c r="E509" t="inlineStr">
        <is>
          <t>ASX</t>
        </is>
      </c>
    </row>
    <row r="510">
      <c r="B510" t="inlineStr">
        <is>
          <t>GNG</t>
        </is>
      </c>
      <c r="C510" t="inlineStr">
        <is>
          <t>GR Engineering Services Ltd</t>
        </is>
      </c>
      <c r="D510" t="inlineStr">
        <is>
          <t>AUD</t>
        </is>
      </c>
      <c r="E510" t="inlineStr">
        <is>
          <t>ASX</t>
        </is>
      </c>
    </row>
    <row r="511">
      <c r="B511" t="inlineStr">
        <is>
          <t>RBD</t>
        </is>
      </c>
      <c r="C511" t="inlineStr">
        <is>
          <t>Restaurant Brands New Zealand Ltd</t>
        </is>
      </c>
      <c r="D511" t="inlineStr">
        <is>
          <t>AUD</t>
        </is>
      </c>
      <c r="E511" t="inlineStr">
        <is>
          <t>ASX</t>
        </is>
      </c>
    </row>
    <row r="512">
      <c r="B512" t="inlineStr">
        <is>
          <t>EHL</t>
        </is>
      </c>
      <c r="C512" t="inlineStr">
        <is>
          <t>Emeco Holdings Ltd</t>
        </is>
      </c>
      <c r="D512" t="inlineStr">
        <is>
          <t>AUD</t>
        </is>
      </c>
      <c r="E512" t="inlineStr">
        <is>
          <t>ASX</t>
        </is>
      </c>
    </row>
    <row r="513">
      <c r="B513" t="inlineStr">
        <is>
          <t>SVM</t>
        </is>
      </c>
      <c r="C513" t="inlineStr">
        <is>
          <t>Sovereign Metals Ltd</t>
        </is>
      </c>
      <c r="D513" t="inlineStr">
        <is>
          <t>AUD</t>
        </is>
      </c>
      <c r="E513" t="inlineStr">
        <is>
          <t>ASX</t>
        </is>
      </c>
    </row>
    <row r="514">
      <c r="B514" t="inlineStr">
        <is>
          <t>AQZ</t>
        </is>
      </c>
      <c r="C514" t="inlineStr">
        <is>
          <t>Alliance Aviation Services Ltd</t>
        </is>
      </c>
      <c r="D514" t="inlineStr">
        <is>
          <t>AUD</t>
        </is>
      </c>
      <c r="E514" t="inlineStr">
        <is>
          <t>ASX</t>
        </is>
      </c>
    </row>
    <row r="515">
      <c r="B515" t="inlineStr">
        <is>
          <t>SYI</t>
        </is>
      </c>
      <c r="C515" t="inlineStr">
        <is>
          <t>SPDR MSCI Australia Select High Dividend Yield Fund</t>
        </is>
      </c>
      <c r="D515" t="inlineStr">
        <is>
          <t>AUD</t>
        </is>
      </c>
      <c r="E515" t="inlineStr">
        <is>
          <t>ASX</t>
        </is>
      </c>
    </row>
    <row r="516">
      <c r="B516" t="inlineStr">
        <is>
          <t>LYL</t>
        </is>
      </c>
      <c r="C516" t="inlineStr">
        <is>
          <t>Lycopodium Ltd</t>
        </is>
      </c>
      <c r="D516" t="inlineStr">
        <is>
          <t>AUD</t>
        </is>
      </c>
      <c r="E516" t="inlineStr">
        <is>
          <t>ASX</t>
        </is>
      </c>
    </row>
    <row r="517">
      <c r="B517" t="inlineStr">
        <is>
          <t>WXOZ</t>
        </is>
      </c>
      <c r="C517" t="inlineStr">
        <is>
          <t>SPDR S&amp;P World Ex Australia Carbon Control Fund</t>
        </is>
      </c>
      <c r="D517" t="inlineStr">
        <is>
          <t>AUD</t>
        </is>
      </c>
      <c r="E517" t="inlineStr">
        <is>
          <t>ASX</t>
        </is>
      </c>
    </row>
    <row r="518">
      <c r="B518" t="inlineStr">
        <is>
          <t>ADH</t>
        </is>
      </c>
      <c r="C518" t="inlineStr">
        <is>
          <t>Adairs Ltd</t>
        </is>
      </c>
      <c r="D518" t="inlineStr">
        <is>
          <t>AUD</t>
        </is>
      </c>
      <c r="E518" t="inlineStr">
        <is>
          <t>ASX</t>
        </is>
      </c>
    </row>
    <row r="519">
      <c r="B519" t="inlineStr">
        <is>
          <t>BFG</t>
        </is>
      </c>
      <c r="C519" t="inlineStr">
        <is>
          <t>Bell Financial Group Ltd</t>
        </is>
      </c>
      <c r="D519" t="inlineStr">
        <is>
          <t>AUD</t>
        </is>
      </c>
      <c r="E519" t="inlineStr">
        <is>
          <t>ASX</t>
        </is>
      </c>
    </row>
    <row r="520">
      <c r="B520" t="inlineStr">
        <is>
          <t>CWP</t>
        </is>
      </c>
      <c r="C520" t="inlineStr">
        <is>
          <t>Cedar Woods Properties Ltd</t>
        </is>
      </c>
      <c r="D520" t="inlineStr">
        <is>
          <t>AUD</t>
        </is>
      </c>
      <c r="E520" t="inlineStr">
        <is>
          <t>ASX</t>
        </is>
      </c>
    </row>
    <row r="521">
      <c r="B521" t="inlineStr">
        <is>
          <t>DJRE</t>
        </is>
      </c>
      <c r="C521" t="inlineStr">
        <is>
          <t>SPDR Dow Jones Global Real Estate Esg Fund</t>
        </is>
      </c>
      <c r="D521" t="inlineStr">
        <is>
          <t>AUD</t>
        </is>
      </c>
      <c r="E521" t="inlineStr">
        <is>
          <t>ASX</t>
        </is>
      </c>
    </row>
    <row r="522">
      <c r="B522" t="inlineStr">
        <is>
          <t>SST</t>
        </is>
      </c>
      <c r="C522" t="inlineStr">
        <is>
          <t>Steamships Trading Company Ltd</t>
        </is>
      </c>
      <c r="D522" t="inlineStr">
        <is>
          <t>AUD</t>
        </is>
      </c>
      <c r="E522" t="inlineStr">
        <is>
          <t>ASX</t>
        </is>
      </c>
    </row>
    <row r="523">
      <c r="B523" t="inlineStr">
        <is>
          <t>WMI</t>
        </is>
      </c>
      <c r="C523" t="inlineStr">
        <is>
          <t>Wam Microcap Ltd</t>
        </is>
      </c>
      <c r="D523" t="inlineStr">
        <is>
          <t>AUD</t>
        </is>
      </c>
      <c r="E523" t="inlineStr">
        <is>
          <t>ASX</t>
        </is>
      </c>
    </row>
    <row r="524">
      <c r="B524" t="inlineStr">
        <is>
          <t>TRA</t>
        </is>
      </c>
      <c r="C524" t="inlineStr">
        <is>
          <t>Turners Automotive Group Ltd</t>
        </is>
      </c>
      <c r="D524" t="inlineStr">
        <is>
          <t>AUD</t>
        </is>
      </c>
      <c r="E524" t="inlineStr">
        <is>
          <t>ASX</t>
        </is>
      </c>
    </row>
    <row r="525">
      <c r="B525" t="inlineStr">
        <is>
          <t>TWR</t>
        </is>
      </c>
      <c r="C525" t="inlineStr">
        <is>
          <t>Tower Ltd</t>
        </is>
      </c>
      <c r="D525" t="inlineStr">
        <is>
          <t>AUD</t>
        </is>
      </c>
      <c r="E525" t="inlineStr">
        <is>
          <t>ASX</t>
        </is>
      </c>
    </row>
    <row r="526">
      <c r="B526" t="inlineStr">
        <is>
          <t>INR</t>
        </is>
      </c>
      <c r="C526" t="inlineStr">
        <is>
          <t>Ioneer Ltd</t>
        </is>
      </c>
      <c r="D526" t="inlineStr">
        <is>
          <t>AUD</t>
        </is>
      </c>
      <c r="E526" t="inlineStr">
        <is>
          <t>ASX</t>
        </is>
      </c>
    </row>
    <row r="527">
      <c r="B527" t="inlineStr">
        <is>
          <t>VBLD</t>
        </is>
      </c>
      <c r="C527" t="inlineStr">
        <is>
          <t>Vanguard Global Infrastructure INDEX ETF</t>
        </is>
      </c>
      <c r="D527" t="inlineStr">
        <is>
          <t>AUD</t>
        </is>
      </c>
      <c r="E527" t="inlineStr">
        <is>
          <t>ASX</t>
        </is>
      </c>
    </row>
    <row r="528">
      <c r="B528" t="inlineStr">
        <is>
          <t>TYR</t>
        </is>
      </c>
      <c r="C528" t="inlineStr">
        <is>
          <t>Tyro Payments Ltd</t>
        </is>
      </c>
      <c r="D528" t="inlineStr">
        <is>
          <t>AUD</t>
        </is>
      </c>
      <c r="E528" t="inlineStr">
        <is>
          <t>ASX</t>
        </is>
      </c>
    </row>
    <row r="529">
      <c r="B529" t="inlineStr">
        <is>
          <t>BC8</t>
        </is>
      </c>
      <c r="C529" t="inlineStr">
        <is>
          <t>Black Cat Syndicate Ltd</t>
        </is>
      </c>
      <c r="D529" t="inlineStr">
        <is>
          <t>AUD</t>
        </is>
      </c>
      <c r="E529" t="inlineStr">
        <is>
          <t>ASX</t>
        </is>
      </c>
    </row>
    <row r="530">
      <c r="B530" t="inlineStr">
        <is>
          <t>AFG</t>
        </is>
      </c>
      <c r="C530" t="inlineStr">
        <is>
          <t>Australian Finance Group Ltd</t>
        </is>
      </c>
      <c r="D530" t="inlineStr">
        <is>
          <t>AUD</t>
        </is>
      </c>
      <c r="E530" t="inlineStr">
        <is>
          <t>ASX</t>
        </is>
      </c>
    </row>
    <row r="531">
      <c r="B531" t="inlineStr">
        <is>
          <t>SUNPI</t>
        </is>
      </c>
      <c r="C531" t="inlineStr">
        <is>
          <t>Suncorp Group Ltd</t>
        </is>
      </c>
      <c r="D531" t="inlineStr">
        <is>
          <t>AUD</t>
        </is>
      </c>
      <c r="E531" t="inlineStr">
        <is>
          <t>ASX</t>
        </is>
      </c>
    </row>
    <row r="532">
      <c r="B532" t="inlineStr">
        <is>
          <t>SKO</t>
        </is>
      </c>
      <c r="C532" t="inlineStr">
        <is>
          <t>Serko Ltd</t>
        </is>
      </c>
      <c r="D532" t="inlineStr">
        <is>
          <t>AUD</t>
        </is>
      </c>
      <c r="E532" t="inlineStr">
        <is>
          <t>ASX</t>
        </is>
      </c>
    </row>
    <row r="533">
      <c r="B533" t="inlineStr">
        <is>
          <t>BOQPG</t>
        </is>
      </c>
      <c r="C533" t="inlineStr">
        <is>
          <t>Bank of Queensland Ltd</t>
        </is>
      </c>
      <c r="D533" t="inlineStr">
        <is>
          <t>AUD</t>
        </is>
      </c>
      <c r="E533" t="inlineStr">
        <is>
          <t>ASX</t>
        </is>
      </c>
    </row>
    <row r="534">
      <c r="B534" t="inlineStr">
        <is>
          <t>RARI</t>
        </is>
      </c>
      <c r="C534" t="inlineStr">
        <is>
          <t>Russell Investments Australian Responsible Investment ETF</t>
        </is>
      </c>
      <c r="D534" t="inlineStr">
        <is>
          <t>AUD</t>
        </is>
      </c>
      <c r="E534" t="inlineStr">
        <is>
          <t>ASX</t>
        </is>
      </c>
    </row>
    <row r="535">
      <c r="B535" t="inlineStr">
        <is>
          <t>AYUPA</t>
        </is>
      </c>
      <c r="C535" t="inlineStr">
        <is>
          <t>Australian Unity Ltd</t>
        </is>
      </c>
      <c r="D535" t="inlineStr">
        <is>
          <t>AUD</t>
        </is>
      </c>
      <c r="E535" t="inlineStr">
        <is>
          <t>ASX</t>
        </is>
      </c>
    </row>
    <row r="536">
      <c r="B536" t="inlineStr">
        <is>
          <t>SYL</t>
        </is>
      </c>
      <c r="C536" t="inlineStr">
        <is>
          <t>Symal Group Ltd</t>
        </is>
      </c>
      <c r="D536" t="inlineStr">
        <is>
          <t>AUD</t>
        </is>
      </c>
      <c r="E536" t="inlineStr">
        <is>
          <t>ASX</t>
        </is>
      </c>
    </row>
    <row r="537">
      <c r="B537" t="inlineStr">
        <is>
          <t>PMC</t>
        </is>
      </c>
      <c r="C537" t="inlineStr">
        <is>
          <t>Platinum Capital Ltd</t>
        </is>
      </c>
      <c r="D537" t="inlineStr">
        <is>
          <t>AUD</t>
        </is>
      </c>
      <c r="E537" t="inlineStr">
        <is>
          <t>ASX</t>
        </is>
      </c>
    </row>
    <row r="538">
      <c r="B538" t="inlineStr">
        <is>
          <t>ALI</t>
        </is>
      </c>
      <c r="C538" t="inlineStr">
        <is>
          <t>Argo Global Listed Infrastructure Ltd</t>
        </is>
      </c>
      <c r="D538" t="inlineStr">
        <is>
          <t>AUD</t>
        </is>
      </c>
      <c r="E538" t="inlineStr">
        <is>
          <t>ASX</t>
        </is>
      </c>
    </row>
    <row r="539">
      <c r="B539" t="inlineStr">
        <is>
          <t>WCMQ</t>
        </is>
      </c>
      <c r="C539" t="inlineStr">
        <is>
          <t>WCM Quality Global Growth Fund (Quoted Managed Fund)</t>
        </is>
      </c>
      <c r="D539" t="inlineStr">
        <is>
          <t>AUD</t>
        </is>
      </c>
      <c r="E539" t="inlineStr">
        <is>
          <t>ASX</t>
        </is>
      </c>
    </row>
    <row r="540">
      <c r="B540" t="inlineStr">
        <is>
          <t>PPS</t>
        </is>
      </c>
      <c r="C540" t="inlineStr">
        <is>
          <t>Praemium Ltd</t>
        </is>
      </c>
      <c r="D540" t="inlineStr">
        <is>
          <t>AUD</t>
        </is>
      </c>
      <c r="E540" t="inlineStr">
        <is>
          <t>ASX</t>
        </is>
      </c>
    </row>
    <row r="541">
      <c r="B541" t="inlineStr">
        <is>
          <t>IMR</t>
        </is>
      </c>
      <c r="C541" t="inlineStr">
        <is>
          <t>Imricor Medical Systems Inc</t>
        </is>
      </c>
      <c r="D541" t="inlineStr">
        <is>
          <t>AUD</t>
        </is>
      </c>
      <c r="E541" t="inlineStr">
        <is>
          <t>ASX</t>
        </is>
      </c>
    </row>
    <row r="542">
      <c r="B542" t="inlineStr">
        <is>
          <t>MLX</t>
        </is>
      </c>
      <c r="C542" t="inlineStr">
        <is>
          <t>Metals X Ltd</t>
        </is>
      </c>
      <c r="D542" t="inlineStr">
        <is>
          <t>AUD</t>
        </is>
      </c>
      <c r="E542" t="inlineStr">
        <is>
          <t>ASX</t>
        </is>
      </c>
    </row>
    <row r="543">
      <c r="B543" t="inlineStr">
        <is>
          <t>PTM</t>
        </is>
      </c>
      <c r="C543" t="inlineStr">
        <is>
          <t>Platinum Asset Management Ltd</t>
        </is>
      </c>
      <c r="D543" t="inlineStr">
        <is>
          <t>AUD</t>
        </is>
      </c>
      <c r="E543" t="inlineStr">
        <is>
          <t>ASX</t>
        </is>
      </c>
    </row>
    <row r="544">
      <c r="B544" t="inlineStr">
        <is>
          <t>MVR</t>
        </is>
      </c>
      <c r="C544" t="inlineStr">
        <is>
          <t>Vaneck Australian Resources ETF</t>
        </is>
      </c>
      <c r="D544" t="inlineStr">
        <is>
          <t>AUD</t>
        </is>
      </c>
      <c r="E544" t="inlineStr">
        <is>
          <t>ASX</t>
        </is>
      </c>
    </row>
    <row r="545">
      <c r="B545" t="inlineStr">
        <is>
          <t>CGFPC</t>
        </is>
      </c>
      <c r="C545" t="inlineStr">
        <is>
          <t>Challenger Ltd</t>
        </is>
      </c>
      <c r="D545" t="inlineStr">
        <is>
          <t>AUD</t>
        </is>
      </c>
      <c r="E545" t="inlineStr">
        <is>
          <t>ASX</t>
        </is>
      </c>
    </row>
    <row r="546">
      <c r="B546" t="inlineStr">
        <is>
          <t>AVJ</t>
        </is>
      </c>
      <c r="C546" t="inlineStr">
        <is>
          <t>Avjennings Ltd</t>
        </is>
      </c>
      <c r="D546" t="inlineStr">
        <is>
          <t>AUD</t>
        </is>
      </c>
      <c r="E546" t="inlineStr">
        <is>
          <t>ASX</t>
        </is>
      </c>
    </row>
    <row r="547">
      <c r="B547" t="inlineStr">
        <is>
          <t>SUNPH</t>
        </is>
      </c>
      <c r="C547" t="inlineStr">
        <is>
          <t>Suncorp Group Ltd</t>
        </is>
      </c>
      <c r="D547" t="inlineStr">
        <is>
          <t>AUD</t>
        </is>
      </c>
      <c r="E547" t="inlineStr">
        <is>
          <t>ASX</t>
        </is>
      </c>
    </row>
    <row r="548">
      <c r="B548" t="inlineStr">
        <is>
          <t>THL</t>
        </is>
      </c>
      <c r="C548" t="inlineStr">
        <is>
          <t>Tourism Holdings Rentals Ltd</t>
        </is>
      </c>
      <c r="D548" t="inlineStr">
        <is>
          <t>AUD</t>
        </is>
      </c>
      <c r="E548" t="inlineStr">
        <is>
          <t>ASX</t>
        </is>
      </c>
    </row>
    <row r="549">
      <c r="B549" t="inlineStr">
        <is>
          <t>ATA</t>
        </is>
      </c>
      <c r="C549" t="inlineStr">
        <is>
          <t>Atturra Ltd</t>
        </is>
      </c>
      <c r="D549" t="inlineStr">
        <is>
          <t>AUD</t>
        </is>
      </c>
      <c r="E549" t="inlineStr">
        <is>
          <t>ASX</t>
        </is>
      </c>
    </row>
    <row r="550">
      <c r="B550" t="inlineStr">
        <is>
          <t>RMC</t>
        </is>
      </c>
      <c r="C550" t="inlineStr">
        <is>
          <t>Resimac Group Ltd</t>
        </is>
      </c>
      <c r="D550" t="inlineStr">
        <is>
          <t>AUD</t>
        </is>
      </c>
      <c r="E550" t="inlineStr">
        <is>
          <t>ASX</t>
        </is>
      </c>
    </row>
    <row r="551">
      <c r="B551" t="inlineStr">
        <is>
          <t>DXC</t>
        </is>
      </c>
      <c r="C551" t="inlineStr">
        <is>
          <t>Dexus Convenience Retail REIT</t>
        </is>
      </c>
      <c r="D551" t="inlineStr">
        <is>
          <t>AUD</t>
        </is>
      </c>
      <c r="E551" t="inlineStr">
        <is>
          <t>ASX</t>
        </is>
      </c>
    </row>
    <row r="552">
      <c r="B552" t="inlineStr">
        <is>
          <t>MGX</t>
        </is>
      </c>
      <c r="C552" t="inlineStr">
        <is>
          <t>Mount Gibson Iron Ltd</t>
        </is>
      </c>
      <c r="D552" t="inlineStr">
        <is>
          <t>AUD</t>
        </is>
      </c>
      <c r="E552" t="inlineStr">
        <is>
          <t>ASX</t>
        </is>
      </c>
    </row>
    <row r="553">
      <c r="B553" t="inlineStr">
        <is>
          <t>OBL</t>
        </is>
      </c>
      <c r="C553" t="inlineStr">
        <is>
          <t>Omni Bridgeway Ltd</t>
        </is>
      </c>
      <c r="D553" t="inlineStr">
        <is>
          <t>AUD</t>
        </is>
      </c>
      <c r="E553" t="inlineStr">
        <is>
          <t>ASX</t>
        </is>
      </c>
    </row>
    <row r="554">
      <c r="B554" t="inlineStr">
        <is>
          <t>WQG</t>
        </is>
      </c>
      <c r="C554" t="inlineStr">
        <is>
          <t>WCM Global Growth Ltd</t>
        </is>
      </c>
      <c r="D554" t="inlineStr">
        <is>
          <t>AUD</t>
        </is>
      </c>
      <c r="E554" t="inlineStr">
        <is>
          <t>ASX</t>
        </is>
      </c>
    </row>
    <row r="555">
      <c r="B555" t="inlineStr">
        <is>
          <t>SXE</t>
        </is>
      </c>
      <c r="C555" t="inlineStr">
        <is>
          <t>Southern Cross Electrical Engineering Ltd</t>
        </is>
      </c>
      <c r="D555" t="inlineStr">
        <is>
          <t>AUD</t>
        </is>
      </c>
      <c r="E555" t="inlineStr">
        <is>
          <t>ASX</t>
        </is>
      </c>
    </row>
    <row r="556">
      <c r="B556" t="inlineStr">
        <is>
          <t>RDY</t>
        </is>
      </c>
      <c r="C556" t="inlineStr">
        <is>
          <t>Readytech Holdings Ltd</t>
        </is>
      </c>
      <c r="D556" t="inlineStr">
        <is>
          <t>AUD</t>
        </is>
      </c>
      <c r="E556" t="inlineStr">
        <is>
          <t>ASX</t>
        </is>
      </c>
    </row>
    <row r="557">
      <c r="B557" t="inlineStr">
        <is>
          <t>PE1</t>
        </is>
      </c>
      <c r="C557" t="inlineStr">
        <is>
          <t>Pengana Private Equity Trust</t>
        </is>
      </c>
      <c r="D557" t="inlineStr">
        <is>
          <t>AUD</t>
        </is>
      </c>
      <c r="E557" t="inlineStr">
        <is>
          <t>ASX</t>
        </is>
      </c>
    </row>
    <row r="558">
      <c r="B558" t="inlineStr">
        <is>
          <t>OCC</t>
        </is>
      </c>
      <c r="C558" t="inlineStr">
        <is>
          <t>Orthocell Ltd</t>
        </is>
      </c>
      <c r="D558" t="inlineStr">
        <is>
          <t>AUD</t>
        </is>
      </c>
      <c r="E558" t="inlineStr">
        <is>
          <t>ASX</t>
        </is>
      </c>
    </row>
    <row r="559">
      <c r="B559" t="inlineStr">
        <is>
          <t>IPG</t>
        </is>
      </c>
      <c r="C559" t="inlineStr">
        <is>
          <t>Ipd Group Ltd</t>
        </is>
      </c>
      <c r="D559" t="inlineStr">
        <is>
          <t>AUD</t>
        </is>
      </c>
      <c r="E559" t="inlineStr">
        <is>
          <t>ASX</t>
        </is>
      </c>
    </row>
    <row r="560">
      <c r="B560" t="inlineStr">
        <is>
          <t>HTA</t>
        </is>
      </c>
      <c r="C560" t="inlineStr">
        <is>
          <t>Hutchison Telecommunications (Australia) Ltd</t>
        </is>
      </c>
      <c r="D560" t="inlineStr">
        <is>
          <t>AUD</t>
        </is>
      </c>
      <c r="E560" t="inlineStr">
        <is>
          <t>ASX</t>
        </is>
      </c>
    </row>
    <row r="561">
      <c r="B561" t="inlineStr">
        <is>
          <t>PAI</t>
        </is>
      </c>
      <c r="C561" t="inlineStr">
        <is>
          <t>Platinum Asia Investments Ltd</t>
        </is>
      </c>
      <c r="D561" t="inlineStr">
        <is>
          <t>AUD</t>
        </is>
      </c>
      <c r="E561" t="inlineStr">
        <is>
          <t>ASX</t>
        </is>
      </c>
    </row>
    <row r="562">
      <c r="B562" t="inlineStr">
        <is>
          <t>DUR</t>
        </is>
      </c>
      <c r="C562" t="inlineStr">
        <is>
          <t>Duratec Ltd</t>
        </is>
      </c>
      <c r="D562" t="inlineStr">
        <is>
          <t>AUD</t>
        </is>
      </c>
      <c r="E562" t="inlineStr">
        <is>
          <t>ASX</t>
        </is>
      </c>
    </row>
    <row r="563">
      <c r="B563" t="inlineStr">
        <is>
          <t>EX20</t>
        </is>
      </c>
      <c r="C563" t="inlineStr">
        <is>
          <t>Betashares Australian Ex-20 Portfolio Diversifier ETF</t>
        </is>
      </c>
      <c r="D563" t="inlineStr">
        <is>
          <t>AUD</t>
        </is>
      </c>
      <c r="E563" t="inlineStr">
        <is>
          <t>ASX</t>
        </is>
      </c>
    </row>
    <row r="564">
      <c r="B564" t="inlineStr">
        <is>
          <t>TECH</t>
        </is>
      </c>
      <c r="C564" t="inlineStr">
        <is>
          <t>Global X Morningstar Global Technology ETF</t>
        </is>
      </c>
      <c r="D564" t="inlineStr">
        <is>
          <t>AUD</t>
        </is>
      </c>
      <c r="E564" t="inlineStr">
        <is>
          <t>ASX</t>
        </is>
      </c>
    </row>
    <row r="565">
      <c r="B565" t="inlineStr">
        <is>
          <t>CDP</t>
        </is>
      </c>
      <c r="C565" t="inlineStr">
        <is>
          <t>Carindale Property Trust</t>
        </is>
      </c>
      <c r="D565" t="inlineStr">
        <is>
          <t>AUD</t>
        </is>
      </c>
      <c r="E565" t="inlineStr">
        <is>
          <t>ASX</t>
        </is>
      </c>
    </row>
    <row r="566">
      <c r="B566" t="inlineStr">
        <is>
          <t>SUNPJ</t>
        </is>
      </c>
      <c r="C566" t="inlineStr">
        <is>
          <t>Suncorp Group Ltd</t>
        </is>
      </c>
      <c r="D566" t="inlineStr">
        <is>
          <t>AUD</t>
        </is>
      </c>
      <c r="E566" t="inlineStr">
        <is>
          <t>ASX</t>
        </is>
      </c>
    </row>
    <row r="567">
      <c r="B567" t="inlineStr">
        <is>
          <t>CGFPD</t>
        </is>
      </c>
      <c r="C567" t="inlineStr">
        <is>
          <t>Challenger Ltd</t>
        </is>
      </c>
      <c r="D567" t="inlineStr">
        <is>
          <t>AUD</t>
        </is>
      </c>
      <c r="E567" t="inlineStr">
        <is>
          <t>ASX</t>
        </is>
      </c>
    </row>
    <row r="568">
      <c r="B568" t="inlineStr">
        <is>
          <t>IGB</t>
        </is>
      </c>
      <c r="C568" t="inlineStr">
        <is>
          <t>Ishares Treasury ETF</t>
        </is>
      </c>
      <c r="D568" t="inlineStr">
        <is>
          <t>AUD</t>
        </is>
      </c>
      <c r="E568" t="inlineStr">
        <is>
          <t>ASX</t>
        </is>
      </c>
    </row>
    <row r="569">
      <c r="B569" t="inlineStr">
        <is>
          <t>AMH</t>
        </is>
      </c>
      <c r="C569" t="inlineStr">
        <is>
          <t>Amcil Ltd</t>
        </is>
      </c>
      <c r="D569" t="inlineStr">
        <is>
          <t>AUD</t>
        </is>
      </c>
      <c r="E569" t="inlineStr">
        <is>
          <t>ASX</t>
        </is>
      </c>
    </row>
    <row r="570">
      <c r="B570" t="inlineStr">
        <is>
          <t>KCN</t>
        </is>
      </c>
      <c r="C570" t="inlineStr">
        <is>
          <t>Kingsgate Consolidated Ltd</t>
        </is>
      </c>
      <c r="D570" t="inlineStr">
        <is>
          <t>AUD</t>
        </is>
      </c>
      <c r="E570" t="inlineStr">
        <is>
          <t>ASX</t>
        </is>
      </c>
    </row>
    <row r="571">
      <c r="B571" t="inlineStr">
        <is>
          <t>SEMI</t>
        </is>
      </c>
      <c r="C571" t="inlineStr">
        <is>
          <t>Global X Semiconductor ETF</t>
        </is>
      </c>
      <c r="D571" t="inlineStr">
        <is>
          <t>AUD</t>
        </is>
      </c>
      <c r="E571" t="inlineStr">
        <is>
          <t>ASX</t>
        </is>
      </c>
    </row>
    <row r="572">
      <c r="B572" t="inlineStr">
        <is>
          <t>IAGPF</t>
        </is>
      </c>
      <c r="C572" t="inlineStr">
        <is>
          <t>Insurance Australia Group Ltd</t>
        </is>
      </c>
      <c r="D572" t="inlineStr">
        <is>
          <t>AUD</t>
        </is>
      </c>
      <c r="E572" t="inlineStr">
        <is>
          <t>ASX</t>
        </is>
      </c>
    </row>
    <row r="573">
      <c r="B573" t="inlineStr">
        <is>
          <t>MYX</t>
        </is>
      </c>
      <c r="C573" t="inlineStr">
        <is>
          <t>Mayne Pharma Group Ltd</t>
        </is>
      </c>
      <c r="D573" t="inlineStr">
        <is>
          <t>AUD</t>
        </is>
      </c>
      <c r="E573" t="inlineStr">
        <is>
          <t>ASX</t>
        </is>
      </c>
    </row>
    <row r="574">
      <c r="B574" t="inlineStr">
        <is>
          <t>SKT</t>
        </is>
      </c>
      <c r="C574" t="inlineStr">
        <is>
          <t>Sky Network Television Ltd</t>
        </is>
      </c>
      <c r="D574" t="inlineStr">
        <is>
          <t>AUD</t>
        </is>
      </c>
      <c r="E574" t="inlineStr">
        <is>
          <t>ASX</t>
        </is>
      </c>
    </row>
    <row r="575">
      <c r="B575" t="inlineStr">
        <is>
          <t>NVX</t>
        </is>
      </c>
      <c r="C575" t="inlineStr">
        <is>
          <t>Novonix Ltd</t>
        </is>
      </c>
      <c r="D575" t="inlineStr">
        <is>
          <t>AUD</t>
        </is>
      </c>
      <c r="E575" t="inlineStr">
        <is>
          <t>ASX</t>
        </is>
      </c>
    </row>
    <row r="576">
      <c r="B576" t="inlineStr">
        <is>
          <t>GBND</t>
        </is>
      </c>
      <c r="C576" t="inlineStr">
        <is>
          <t>Betashares Sustainability Leaders DVRSFD Bond ETF - Cur HDG</t>
        </is>
      </c>
      <c r="D576" t="inlineStr">
        <is>
          <t>AUD</t>
        </is>
      </c>
      <c r="E576" t="inlineStr">
        <is>
          <t>ASX</t>
        </is>
      </c>
    </row>
    <row r="577">
      <c r="B577" t="inlineStr">
        <is>
          <t>ASG</t>
        </is>
      </c>
      <c r="C577" t="inlineStr">
        <is>
          <t>Autosports Group Ltd</t>
        </is>
      </c>
      <c r="D577" t="inlineStr">
        <is>
          <t>AUD</t>
        </is>
      </c>
      <c r="E577" t="inlineStr">
        <is>
          <t>ASX</t>
        </is>
      </c>
    </row>
    <row r="578">
      <c r="B578" t="inlineStr">
        <is>
          <t>MMI</t>
        </is>
      </c>
      <c r="C578" t="inlineStr">
        <is>
          <t>Metro Mining Ltd</t>
        </is>
      </c>
      <c r="D578" t="inlineStr">
        <is>
          <t>AUD</t>
        </is>
      </c>
      <c r="E578" t="inlineStr">
        <is>
          <t>ASX</t>
        </is>
      </c>
    </row>
    <row r="579">
      <c r="B579" t="inlineStr">
        <is>
          <t>PLUS</t>
        </is>
      </c>
      <c r="C579" t="inlineStr">
        <is>
          <t>Vaneck Australian Corporate Bond Plus ETF</t>
        </is>
      </c>
      <c r="D579" t="inlineStr">
        <is>
          <t>AUD</t>
        </is>
      </c>
      <c r="E579" t="inlineStr">
        <is>
          <t>ASX</t>
        </is>
      </c>
    </row>
    <row r="580">
      <c r="B580" t="inlineStr">
        <is>
          <t>F100</t>
        </is>
      </c>
      <c r="C580" t="inlineStr">
        <is>
          <t>Betashares Ftse 100 ETF</t>
        </is>
      </c>
      <c r="D580" t="inlineStr">
        <is>
          <t>AUD</t>
        </is>
      </c>
      <c r="E580" t="inlineStr">
        <is>
          <t>ASX</t>
        </is>
      </c>
    </row>
    <row r="581">
      <c r="B581" t="inlineStr">
        <is>
          <t>AQLT</t>
        </is>
      </c>
      <c r="C581" t="inlineStr">
        <is>
          <t>Betashares Australian Quality ETF</t>
        </is>
      </c>
      <c r="D581" t="inlineStr">
        <is>
          <t>AUD</t>
        </is>
      </c>
      <c r="E581" t="inlineStr">
        <is>
          <t>ASX</t>
        </is>
      </c>
    </row>
    <row r="582">
      <c r="B582" t="inlineStr">
        <is>
          <t>L1IF</t>
        </is>
      </c>
      <c r="C582" t="inlineStr">
        <is>
          <t>L1 Capital International Fund (Managed Fund)</t>
        </is>
      </c>
      <c r="D582" t="inlineStr">
        <is>
          <t>AUD</t>
        </is>
      </c>
      <c r="E582" t="inlineStr">
        <is>
          <t>ASX</t>
        </is>
      </c>
    </row>
    <row r="583">
      <c r="B583" t="inlineStr">
        <is>
          <t>ACF</t>
        </is>
      </c>
      <c r="C583" t="inlineStr">
        <is>
          <t>Acrow Ltd</t>
        </is>
      </c>
      <c r="D583" t="inlineStr">
        <is>
          <t>AUD</t>
        </is>
      </c>
      <c r="E583" t="inlineStr">
        <is>
          <t>ASX</t>
        </is>
      </c>
    </row>
    <row r="584">
      <c r="B584" t="inlineStr">
        <is>
          <t>QMIX</t>
        </is>
      </c>
      <c r="C584" t="inlineStr">
        <is>
          <t>SPDR MSCI World Quality MIX Fund</t>
        </is>
      </c>
      <c r="D584" t="inlineStr">
        <is>
          <t>AUD</t>
        </is>
      </c>
      <c r="E584" t="inlineStr">
        <is>
          <t>ASX</t>
        </is>
      </c>
    </row>
    <row r="585">
      <c r="B585" t="inlineStr">
        <is>
          <t>MAU</t>
        </is>
      </c>
      <c r="C585" t="inlineStr">
        <is>
          <t>Magnetic Resources NL</t>
        </is>
      </c>
      <c r="D585" t="inlineStr">
        <is>
          <t>AUD</t>
        </is>
      </c>
      <c r="E585" t="inlineStr">
        <is>
          <t>ASX</t>
        </is>
      </c>
    </row>
    <row r="586">
      <c r="B586" t="inlineStr">
        <is>
          <t>SGR</t>
        </is>
      </c>
      <c r="C586" t="inlineStr">
        <is>
          <t>The Star Entertainment Group Ltd</t>
        </is>
      </c>
      <c r="D586" t="inlineStr">
        <is>
          <t>AUD</t>
        </is>
      </c>
      <c r="E586" t="inlineStr">
        <is>
          <t>ASX</t>
        </is>
      </c>
    </row>
    <row r="587">
      <c r="B587" t="inlineStr">
        <is>
          <t>MVE</t>
        </is>
      </c>
      <c r="C587" t="inlineStr">
        <is>
          <t>Vaneck S&amp;P/ASX Midcap ETF</t>
        </is>
      </c>
      <c r="D587" t="inlineStr">
        <is>
          <t>AUD</t>
        </is>
      </c>
      <c r="E587" t="inlineStr">
        <is>
          <t>ASX</t>
        </is>
      </c>
    </row>
    <row r="588">
      <c r="B588" t="inlineStr">
        <is>
          <t>IGL</t>
        </is>
      </c>
      <c r="C588" t="inlineStr">
        <is>
          <t>Ive Group Ltd</t>
        </is>
      </c>
      <c r="D588" t="inlineStr">
        <is>
          <t>AUD</t>
        </is>
      </c>
      <c r="E588" t="inlineStr">
        <is>
          <t>ASX</t>
        </is>
      </c>
    </row>
    <row r="589">
      <c r="B589" t="inlineStr">
        <is>
          <t>AGX1</t>
        </is>
      </c>
      <c r="C589" t="inlineStr">
        <is>
          <t>Antipodes Global Shares (Quoted Managed Fund)</t>
        </is>
      </c>
      <c r="D589" t="inlineStr">
        <is>
          <t>AUD</t>
        </is>
      </c>
      <c r="E589" t="inlineStr">
        <is>
          <t>ASX</t>
        </is>
      </c>
    </row>
    <row r="590">
      <c r="B590" t="inlineStr">
        <is>
          <t>HZN</t>
        </is>
      </c>
      <c r="C590" t="inlineStr">
        <is>
          <t>Horizon Oil Ltd</t>
        </is>
      </c>
      <c r="D590" t="inlineStr">
        <is>
          <t>AUD</t>
        </is>
      </c>
      <c r="E590" t="inlineStr">
        <is>
          <t>ASX</t>
        </is>
      </c>
    </row>
    <row r="591">
      <c r="B591" t="inlineStr">
        <is>
          <t>TTT</t>
        </is>
      </c>
      <c r="C591" t="inlineStr">
        <is>
          <t>Titomic Ltd</t>
        </is>
      </c>
      <c r="D591" t="inlineStr">
        <is>
          <t>AUD</t>
        </is>
      </c>
      <c r="E591" t="inlineStr">
        <is>
          <t>ASX</t>
        </is>
      </c>
    </row>
    <row r="592">
      <c r="B592" t="inlineStr">
        <is>
          <t>ALK</t>
        </is>
      </c>
      <c r="C592" t="inlineStr">
        <is>
          <t>Alkane Resources Ltd</t>
        </is>
      </c>
      <c r="D592" t="inlineStr">
        <is>
          <t>AUD</t>
        </is>
      </c>
      <c r="E592" t="inlineStr">
        <is>
          <t>ASX</t>
        </is>
      </c>
    </row>
    <row r="593">
      <c r="B593" t="inlineStr">
        <is>
          <t>ATEC</t>
        </is>
      </c>
      <c r="C593" t="inlineStr">
        <is>
          <t>Betashares S&amp;P/ASX Australian Technology ETF</t>
        </is>
      </c>
      <c r="D593" t="inlineStr">
        <is>
          <t>AUD</t>
        </is>
      </c>
      <c r="E593" t="inlineStr">
        <is>
          <t>ASX</t>
        </is>
      </c>
    </row>
    <row r="594">
      <c r="B594" t="inlineStr">
        <is>
          <t>ARU</t>
        </is>
      </c>
      <c r="C594" t="inlineStr">
        <is>
          <t>Arafura Rare EARTHS Ltd</t>
        </is>
      </c>
      <c r="D594" t="inlineStr">
        <is>
          <t>AUD</t>
        </is>
      </c>
      <c r="E594" t="inlineStr">
        <is>
          <t>ASX</t>
        </is>
      </c>
    </row>
    <row r="595">
      <c r="B595" t="inlineStr">
        <is>
          <t>KSL</t>
        </is>
      </c>
      <c r="C595" t="inlineStr">
        <is>
          <t>Kina Securities Ltd</t>
        </is>
      </c>
      <c r="D595" t="inlineStr">
        <is>
          <t>AUD</t>
        </is>
      </c>
      <c r="E595" t="inlineStr">
        <is>
          <t>ASX</t>
        </is>
      </c>
    </row>
    <row r="596">
      <c r="B596" t="inlineStr">
        <is>
          <t>PIA</t>
        </is>
      </c>
      <c r="C596" t="inlineStr">
        <is>
          <t>Pengana International Equities Ltd</t>
        </is>
      </c>
      <c r="D596" t="inlineStr">
        <is>
          <t>AUD</t>
        </is>
      </c>
      <c r="E596" t="inlineStr">
        <is>
          <t>ASX</t>
        </is>
      </c>
    </row>
    <row r="597">
      <c r="B597" t="inlineStr">
        <is>
          <t>CAY</t>
        </is>
      </c>
      <c r="C597" t="inlineStr">
        <is>
          <t>Canyon Resources Ltd</t>
        </is>
      </c>
      <c r="D597" t="inlineStr">
        <is>
          <t>AUD</t>
        </is>
      </c>
      <c r="E597" t="inlineStr">
        <is>
          <t>ASX</t>
        </is>
      </c>
    </row>
    <row r="598">
      <c r="B598" t="inlineStr">
        <is>
          <t>GLPR</t>
        </is>
      </c>
      <c r="C598" t="inlineStr">
        <is>
          <t>Ishares Ftse GBL Property Ex Aus (Aud Hedged) ETF</t>
        </is>
      </c>
      <c r="D598" t="inlineStr">
        <is>
          <t>AUD</t>
        </is>
      </c>
      <c r="E598" t="inlineStr">
        <is>
          <t>ASX</t>
        </is>
      </c>
    </row>
    <row r="599">
      <c r="B599" t="inlineStr">
        <is>
          <t>IHD</t>
        </is>
      </c>
      <c r="C599" t="inlineStr">
        <is>
          <t>Ishares S&amp;P/ASX DIV Opportunities Esg Screened ETF</t>
        </is>
      </c>
      <c r="D599" t="inlineStr">
        <is>
          <t>AUD</t>
        </is>
      </c>
      <c r="E599" t="inlineStr">
        <is>
          <t>ASX</t>
        </is>
      </c>
    </row>
    <row r="600">
      <c r="B600" t="inlineStr">
        <is>
          <t>SPY</t>
        </is>
      </c>
      <c r="C600" t="inlineStr">
        <is>
          <t>SPDR S&amp;P 500 ETF Trust</t>
        </is>
      </c>
      <c r="D600" t="inlineStr">
        <is>
          <t>AUD</t>
        </is>
      </c>
      <c r="E600" t="inlineStr">
        <is>
          <t>ASX</t>
        </is>
      </c>
    </row>
    <row r="601">
      <c r="B601" t="inlineStr">
        <is>
          <t>HLO</t>
        </is>
      </c>
      <c r="C601" t="inlineStr">
        <is>
          <t>Helloworld Travel Ltd</t>
        </is>
      </c>
      <c r="D601" t="inlineStr">
        <is>
          <t>AUD</t>
        </is>
      </c>
      <c r="E601" t="inlineStr">
        <is>
          <t>ASX</t>
        </is>
      </c>
    </row>
    <row r="602">
      <c r="B602" t="inlineStr">
        <is>
          <t>OFX</t>
        </is>
      </c>
      <c r="C602" t="inlineStr">
        <is>
          <t>OFX Group Ltd</t>
        </is>
      </c>
      <c r="D602" t="inlineStr">
        <is>
          <t>AUD</t>
        </is>
      </c>
      <c r="E602" t="inlineStr">
        <is>
          <t>ASX</t>
        </is>
      </c>
    </row>
    <row r="603">
      <c r="B603" t="inlineStr">
        <is>
          <t>PSQ</t>
        </is>
      </c>
      <c r="C603" t="inlineStr">
        <is>
          <t>Pacific Smiles Group Ltd</t>
        </is>
      </c>
      <c r="D603" t="inlineStr">
        <is>
          <t>AUD</t>
        </is>
      </c>
      <c r="E603" t="inlineStr">
        <is>
          <t>ASX</t>
        </is>
      </c>
    </row>
    <row r="604">
      <c r="B604" t="inlineStr">
        <is>
          <t>WC8</t>
        </is>
      </c>
      <c r="C604" t="inlineStr">
        <is>
          <t>Wildcat Resources Ltd</t>
        </is>
      </c>
      <c r="D604" t="inlineStr">
        <is>
          <t>AUD</t>
        </is>
      </c>
      <c r="E604" t="inlineStr">
        <is>
          <t>ASX</t>
        </is>
      </c>
    </row>
    <row r="605">
      <c r="B605" t="inlineStr">
        <is>
          <t>GDI</t>
        </is>
      </c>
      <c r="C605" t="inlineStr">
        <is>
          <t>GDI Property Group</t>
        </is>
      </c>
      <c r="D605" t="inlineStr">
        <is>
          <t>AUD</t>
        </is>
      </c>
      <c r="E605" t="inlineStr">
        <is>
          <t>ASX</t>
        </is>
      </c>
    </row>
    <row r="606">
      <c r="B606" t="inlineStr">
        <is>
          <t>BENPI</t>
        </is>
      </c>
      <c r="C606" t="inlineStr">
        <is>
          <t>Bendigo and Adelaide Bank Ltd</t>
        </is>
      </c>
      <c r="D606" t="inlineStr">
        <is>
          <t>AUD</t>
        </is>
      </c>
      <c r="E606" t="inlineStr">
        <is>
          <t>ASX</t>
        </is>
      </c>
    </row>
    <row r="607">
      <c r="B607" t="inlineStr">
        <is>
          <t>SMI</t>
        </is>
      </c>
      <c r="C607" t="inlineStr">
        <is>
          <t>Santana Minerals Ltd</t>
        </is>
      </c>
      <c r="D607" t="inlineStr">
        <is>
          <t>AUD</t>
        </is>
      </c>
      <c r="E607" t="inlineStr">
        <is>
          <t>ASX</t>
        </is>
      </c>
    </row>
    <row r="608">
      <c r="B608" t="inlineStr">
        <is>
          <t>RG8</t>
        </is>
      </c>
      <c r="C608" t="inlineStr">
        <is>
          <t>Regal Asian Investments Ltd</t>
        </is>
      </c>
      <c r="D608" t="inlineStr">
        <is>
          <t>AUD</t>
        </is>
      </c>
      <c r="E608" t="inlineStr">
        <is>
          <t>ASX</t>
        </is>
      </c>
    </row>
    <row r="609">
      <c r="B609" t="inlineStr">
        <is>
          <t>PBH</t>
        </is>
      </c>
      <c r="C609" t="inlineStr">
        <is>
          <t>Pointsbet Holdings Ltd</t>
        </is>
      </c>
      <c r="D609" t="inlineStr">
        <is>
          <t>AUD</t>
        </is>
      </c>
      <c r="E609" t="inlineStr">
        <is>
          <t>ASX</t>
        </is>
      </c>
    </row>
    <row r="610">
      <c r="B610" t="inlineStr">
        <is>
          <t>SPZ</t>
        </is>
      </c>
      <c r="C610" t="inlineStr">
        <is>
          <t>Smart Parking Ltd</t>
        </is>
      </c>
      <c r="D610" t="inlineStr">
        <is>
          <t>AUD</t>
        </is>
      </c>
      <c r="E610" t="inlineStr">
        <is>
          <t>ASX</t>
        </is>
      </c>
    </row>
    <row r="611">
      <c r="B611" t="inlineStr">
        <is>
          <t>EML</t>
        </is>
      </c>
      <c r="C611" t="inlineStr">
        <is>
          <t>EML Payments Ltd</t>
        </is>
      </c>
      <c r="D611" t="inlineStr">
        <is>
          <t>AUD</t>
        </is>
      </c>
      <c r="E611" t="inlineStr">
        <is>
          <t>ASX</t>
        </is>
      </c>
    </row>
    <row r="612">
      <c r="B612" t="inlineStr">
        <is>
          <t>ANG</t>
        </is>
      </c>
      <c r="C612" t="inlineStr">
        <is>
          <t>Austin Engineering Ltd</t>
        </is>
      </c>
      <c r="D612" t="inlineStr">
        <is>
          <t>AUD</t>
        </is>
      </c>
      <c r="E612" t="inlineStr">
        <is>
          <t>ASX</t>
        </is>
      </c>
    </row>
    <row r="613">
      <c r="B613" t="inlineStr">
        <is>
          <t>IHCB</t>
        </is>
      </c>
      <c r="C613" t="inlineStr">
        <is>
          <t>Ishares Core Global Corporate Bond(Aud Hedged) ETF</t>
        </is>
      </c>
      <c r="D613" t="inlineStr">
        <is>
          <t>AUD</t>
        </is>
      </c>
      <c r="E613" t="inlineStr">
        <is>
          <t>ASX</t>
        </is>
      </c>
    </row>
    <row r="614">
      <c r="B614" t="inlineStr">
        <is>
          <t>DSE</t>
        </is>
      </c>
      <c r="C614" t="inlineStr">
        <is>
          <t>Dropsuite Ltd</t>
        </is>
      </c>
      <c r="D614" t="inlineStr">
        <is>
          <t>AUD</t>
        </is>
      </c>
      <c r="E614" t="inlineStr">
        <is>
          <t>ASX</t>
        </is>
      </c>
    </row>
    <row r="615">
      <c r="B615" t="inlineStr">
        <is>
          <t>QRE</t>
        </is>
      </c>
      <c r="C615" t="inlineStr">
        <is>
          <t>Betashares Australian Resources Sector ETF</t>
        </is>
      </c>
      <c r="D615" t="inlineStr">
        <is>
          <t>AUD</t>
        </is>
      </c>
      <c r="E615" t="inlineStr">
        <is>
          <t>ASX</t>
        </is>
      </c>
    </row>
    <row r="616">
      <c r="B616" t="inlineStr">
        <is>
          <t>IESG</t>
        </is>
      </c>
      <c r="C616" t="inlineStr">
        <is>
          <t>Ishares Core MSCI Australia Esg ETF</t>
        </is>
      </c>
      <c r="D616" t="inlineStr">
        <is>
          <t>AUD</t>
        </is>
      </c>
      <c r="E616" t="inlineStr">
        <is>
          <t>ASX</t>
        </is>
      </c>
    </row>
    <row r="617">
      <c r="B617" t="inlineStr">
        <is>
          <t>RBTZ</t>
        </is>
      </c>
      <c r="C617" t="inlineStr">
        <is>
          <t>Betashares Global Robotics and Artificial Intelligence ETF</t>
        </is>
      </c>
      <c r="D617" t="inlineStr">
        <is>
          <t>AUD</t>
        </is>
      </c>
      <c r="E617" t="inlineStr">
        <is>
          <t>ASX</t>
        </is>
      </c>
    </row>
    <row r="618">
      <c r="B618" t="inlineStr">
        <is>
          <t>SFC</t>
        </is>
      </c>
      <c r="C618" t="inlineStr">
        <is>
          <t>Schaffer Corporation Ltd</t>
        </is>
      </c>
      <c r="D618" t="inlineStr">
        <is>
          <t>AUD</t>
        </is>
      </c>
      <c r="E618" t="inlineStr">
        <is>
          <t>ASX</t>
        </is>
      </c>
    </row>
    <row r="619">
      <c r="B619" t="inlineStr">
        <is>
          <t>29M</t>
        </is>
      </c>
      <c r="C619" t="inlineStr">
        <is>
          <t>29METALS Ltd</t>
        </is>
      </c>
      <c r="D619" t="inlineStr">
        <is>
          <t>AUD</t>
        </is>
      </c>
      <c r="E619" t="inlineStr">
        <is>
          <t>ASX</t>
        </is>
      </c>
    </row>
    <row r="620">
      <c r="B620" t="inlineStr">
        <is>
          <t>IZZ</t>
        </is>
      </c>
      <c r="C620" t="inlineStr">
        <is>
          <t>Ishares China Large-Cap ETF</t>
        </is>
      </c>
      <c r="D620" t="inlineStr">
        <is>
          <t>AUD</t>
        </is>
      </c>
      <c r="E620" t="inlineStr">
        <is>
          <t>ASX</t>
        </is>
      </c>
    </row>
    <row r="621">
      <c r="B621" t="inlineStr">
        <is>
          <t>GGUS</t>
        </is>
      </c>
      <c r="C621" t="inlineStr">
        <is>
          <t>Betashares Geared US Equity Fund Currency Hedged (Hedgefund)</t>
        </is>
      </c>
      <c r="D621" t="inlineStr">
        <is>
          <t>AUD</t>
        </is>
      </c>
      <c r="E621" t="inlineStr">
        <is>
          <t>ASX</t>
        </is>
      </c>
    </row>
    <row r="622">
      <c r="B622" t="inlineStr">
        <is>
          <t>MAET</t>
        </is>
      </c>
      <c r="C622" t="inlineStr">
        <is>
          <t>Munro Global Growth Fund Complex ETF</t>
        </is>
      </c>
      <c r="D622" t="inlineStr">
        <is>
          <t>AUD</t>
        </is>
      </c>
      <c r="E622" t="inlineStr">
        <is>
          <t>ASX</t>
        </is>
      </c>
    </row>
    <row r="623">
      <c r="B623" t="inlineStr">
        <is>
          <t>AMI</t>
        </is>
      </c>
      <c r="C623" t="inlineStr">
        <is>
          <t>Aurelia Metals Ltd</t>
        </is>
      </c>
      <c r="D623" t="inlineStr">
        <is>
          <t>AUD</t>
        </is>
      </c>
      <c r="E623" t="inlineStr">
        <is>
          <t>ASX</t>
        </is>
      </c>
    </row>
    <row r="624">
      <c r="B624" t="inlineStr">
        <is>
          <t>MRE</t>
        </is>
      </c>
      <c r="C624" t="inlineStr">
        <is>
          <t>Metrics Real Estate Multi-Strategy Fund</t>
        </is>
      </c>
      <c r="D624" t="inlineStr">
        <is>
          <t>AUD</t>
        </is>
      </c>
      <c r="E624" t="inlineStr">
        <is>
          <t>ASX</t>
        </is>
      </c>
    </row>
    <row r="625">
      <c r="B625" t="inlineStr">
        <is>
          <t>VLUE</t>
        </is>
      </c>
      <c r="C625" t="inlineStr">
        <is>
          <t>Vaneck MSCI International Value ETF</t>
        </is>
      </c>
      <c r="D625" t="inlineStr">
        <is>
          <t>AUD</t>
        </is>
      </c>
      <c r="E625" t="inlineStr">
        <is>
          <t>ASX</t>
        </is>
      </c>
    </row>
    <row r="626">
      <c r="B626" t="inlineStr">
        <is>
          <t>REP</t>
        </is>
      </c>
      <c r="C626" t="inlineStr">
        <is>
          <t>Ram Essential Services Property Fund</t>
        </is>
      </c>
      <c r="D626" t="inlineStr">
        <is>
          <t>AUD</t>
        </is>
      </c>
      <c r="E626" t="inlineStr">
        <is>
          <t>ASX</t>
        </is>
      </c>
    </row>
    <row r="627">
      <c r="B627" t="inlineStr">
        <is>
          <t>GLOB</t>
        </is>
      </c>
      <c r="C627" t="inlineStr">
        <is>
          <t>Barrow Hanley Global Share Fund (Managed Fund)</t>
        </is>
      </c>
      <c r="D627" t="inlineStr">
        <is>
          <t>AUD</t>
        </is>
      </c>
      <c r="E627" t="inlineStr">
        <is>
          <t>ASX</t>
        </is>
      </c>
    </row>
    <row r="628">
      <c r="B628" t="inlineStr">
        <is>
          <t>WJL</t>
        </is>
      </c>
      <c r="C628" t="inlineStr">
        <is>
          <t>Webjet Group Ltd</t>
        </is>
      </c>
      <c r="D628" t="inlineStr">
        <is>
          <t>AUD</t>
        </is>
      </c>
      <c r="E628" t="inlineStr">
        <is>
          <t>ASX</t>
        </is>
      </c>
    </row>
    <row r="629">
      <c r="B629" t="inlineStr">
        <is>
          <t>VEQ</t>
        </is>
      </c>
      <c r="C629" t="inlineStr">
        <is>
          <t>Vanguard Ftse Europe Shares ETF</t>
        </is>
      </c>
      <c r="D629" t="inlineStr">
        <is>
          <t>AUD</t>
        </is>
      </c>
      <c r="E629" t="inlineStr">
        <is>
          <t>ASX</t>
        </is>
      </c>
    </row>
    <row r="630">
      <c r="B630" t="inlineStr">
        <is>
          <t>WGN</t>
        </is>
      </c>
      <c r="C630" t="inlineStr">
        <is>
          <t>Wagners Holding Company Ltd</t>
        </is>
      </c>
      <c r="D630" t="inlineStr">
        <is>
          <t>AUD</t>
        </is>
      </c>
      <c r="E630" t="inlineStr">
        <is>
          <t>ASX</t>
        </is>
      </c>
    </row>
    <row r="631">
      <c r="B631" t="inlineStr">
        <is>
          <t>TBN</t>
        </is>
      </c>
      <c r="C631" t="inlineStr">
        <is>
          <t>Tamboran Resources Corporation</t>
        </is>
      </c>
      <c r="D631" t="inlineStr">
        <is>
          <t>AUD</t>
        </is>
      </c>
      <c r="E631" t="inlineStr">
        <is>
          <t>ASX</t>
        </is>
      </c>
    </row>
    <row r="632">
      <c r="B632" t="inlineStr">
        <is>
          <t>HUM</t>
        </is>
      </c>
      <c r="C632" t="inlineStr">
        <is>
          <t>Humm Group Ltd</t>
        </is>
      </c>
      <c r="D632" t="inlineStr">
        <is>
          <t>AUD</t>
        </is>
      </c>
      <c r="E632" t="inlineStr">
        <is>
          <t>ASX</t>
        </is>
      </c>
    </row>
    <row r="633">
      <c r="B633" t="inlineStr">
        <is>
          <t>JMS</t>
        </is>
      </c>
      <c r="C633" t="inlineStr">
        <is>
          <t>Jupiter Mines Ltd</t>
        </is>
      </c>
      <c r="D633" t="inlineStr">
        <is>
          <t>AUD</t>
        </is>
      </c>
      <c r="E633" t="inlineStr">
        <is>
          <t>ASX</t>
        </is>
      </c>
    </row>
    <row r="634">
      <c r="B634" t="inlineStr">
        <is>
          <t>IMU</t>
        </is>
      </c>
      <c r="C634" t="inlineStr">
        <is>
          <t>Imugene Ltd</t>
        </is>
      </c>
      <c r="D634" t="inlineStr">
        <is>
          <t>AUD</t>
        </is>
      </c>
      <c r="E634" t="inlineStr">
        <is>
          <t>ASX</t>
        </is>
      </c>
    </row>
    <row r="635">
      <c r="B635" t="inlineStr">
        <is>
          <t>WXHG</t>
        </is>
      </c>
      <c r="C635" t="inlineStr">
        <is>
          <t>SPDR S&amp;P World Ex Aus Carbon Control (Hedged) Fund</t>
        </is>
      </c>
      <c r="D635" t="inlineStr">
        <is>
          <t>AUD</t>
        </is>
      </c>
      <c r="E635" t="inlineStr">
        <is>
          <t>ASX</t>
        </is>
      </c>
    </row>
    <row r="636">
      <c r="B636" t="inlineStr">
        <is>
          <t>AMPPB</t>
        </is>
      </c>
      <c r="C636" t="inlineStr">
        <is>
          <t>AMP Ltd</t>
        </is>
      </c>
      <c r="D636" t="inlineStr">
        <is>
          <t>AUD</t>
        </is>
      </c>
      <c r="E636" t="inlineStr">
        <is>
          <t>ASX</t>
        </is>
      </c>
    </row>
    <row r="637">
      <c r="B637" t="inlineStr">
        <is>
          <t>RCB</t>
        </is>
      </c>
      <c r="C637" t="inlineStr">
        <is>
          <t>Russell Investments Australian Select Corporate Bond ETF</t>
        </is>
      </c>
      <c r="D637" t="inlineStr">
        <is>
          <t>AUD</t>
        </is>
      </c>
      <c r="E637" t="inlineStr">
        <is>
          <t>ASX</t>
        </is>
      </c>
    </row>
    <row r="638">
      <c r="B638" t="inlineStr">
        <is>
          <t>MSTR</t>
        </is>
      </c>
      <c r="C638" t="inlineStr">
        <is>
          <t>Morningstar International Shares Active ETF (Managed Fund)</t>
        </is>
      </c>
      <c r="D638" t="inlineStr">
        <is>
          <t>AUD</t>
        </is>
      </c>
      <c r="E638" t="inlineStr">
        <is>
          <t>ASX</t>
        </is>
      </c>
    </row>
    <row r="639">
      <c r="B639" t="inlineStr">
        <is>
          <t>RHCPA</t>
        </is>
      </c>
      <c r="C639" t="inlineStr">
        <is>
          <t>Ramsay Health Care Ltd</t>
        </is>
      </c>
      <c r="D639" t="inlineStr">
        <is>
          <t>AUD</t>
        </is>
      </c>
      <c r="E639" t="inlineStr">
        <is>
          <t>ASX</t>
        </is>
      </c>
    </row>
    <row r="640">
      <c r="B640" t="inlineStr">
        <is>
          <t>KMD</t>
        </is>
      </c>
      <c r="C640" t="inlineStr">
        <is>
          <t>KMD Brands Ltd</t>
        </is>
      </c>
      <c r="D640" t="inlineStr">
        <is>
          <t>AUD</t>
        </is>
      </c>
      <c r="E640" t="inlineStr">
        <is>
          <t>ASX</t>
        </is>
      </c>
    </row>
    <row r="641">
      <c r="B641" t="inlineStr">
        <is>
          <t>TCG</t>
        </is>
      </c>
      <c r="C641" t="inlineStr">
        <is>
          <t>Turaco Gold Ltd</t>
        </is>
      </c>
      <c r="D641" t="inlineStr">
        <is>
          <t>AUD</t>
        </is>
      </c>
      <c r="E641" t="inlineStr">
        <is>
          <t>ASX</t>
        </is>
      </c>
    </row>
    <row r="642">
      <c r="B642" t="inlineStr">
        <is>
          <t>VLC</t>
        </is>
      </c>
      <c r="C642" t="inlineStr">
        <is>
          <t>Vanguard MSCI Australian Large Companies INDEX ETF</t>
        </is>
      </c>
      <c r="D642" t="inlineStr">
        <is>
          <t>AUD</t>
        </is>
      </c>
      <c r="E642" t="inlineStr">
        <is>
          <t>ASX</t>
        </is>
      </c>
    </row>
    <row r="643">
      <c r="B643" t="inlineStr">
        <is>
          <t>FID</t>
        </is>
      </c>
      <c r="C643" t="inlineStr">
        <is>
          <t>Fiducian Group Ltd</t>
        </is>
      </c>
      <c r="D643" t="inlineStr">
        <is>
          <t>AUD</t>
        </is>
      </c>
      <c r="E643" t="inlineStr">
        <is>
          <t>ASX</t>
        </is>
      </c>
    </row>
    <row r="644">
      <c r="B644" t="inlineStr">
        <is>
          <t>WDIV</t>
        </is>
      </c>
      <c r="C644" t="inlineStr">
        <is>
          <t>SPDR S&amp;P Global Dividend Fund</t>
        </is>
      </c>
      <c r="D644" t="inlineStr">
        <is>
          <t>AUD</t>
        </is>
      </c>
      <c r="E644" t="inlineStr">
        <is>
          <t>ASX</t>
        </is>
      </c>
    </row>
    <row r="645">
      <c r="B645" t="inlineStr">
        <is>
          <t>MEK</t>
        </is>
      </c>
      <c r="C645" t="inlineStr">
        <is>
          <t>Meeka Metals Ltd</t>
        </is>
      </c>
      <c r="D645" t="inlineStr">
        <is>
          <t>AUD</t>
        </is>
      </c>
      <c r="E645" t="inlineStr">
        <is>
          <t>ASX</t>
        </is>
      </c>
    </row>
    <row r="646">
      <c r="B646" t="inlineStr">
        <is>
          <t>PWR</t>
        </is>
      </c>
      <c r="C646" t="inlineStr">
        <is>
          <t>Peter Warren Automotive Holdings Ltd</t>
        </is>
      </c>
      <c r="D646" t="inlineStr">
        <is>
          <t>AUD</t>
        </is>
      </c>
      <c r="E646" t="inlineStr">
        <is>
          <t>ASX</t>
        </is>
      </c>
    </row>
    <row r="647">
      <c r="B647" t="inlineStr">
        <is>
          <t>BOQPF</t>
        </is>
      </c>
      <c r="C647" t="inlineStr">
        <is>
          <t>Bank of Queensland Ltd</t>
        </is>
      </c>
      <c r="D647" t="inlineStr">
        <is>
          <t>AUD</t>
        </is>
      </c>
      <c r="E647" t="inlineStr">
        <is>
          <t>ASX</t>
        </is>
      </c>
    </row>
    <row r="648">
      <c r="B648" t="inlineStr">
        <is>
          <t>WAT</t>
        </is>
      </c>
      <c r="C648" t="inlineStr">
        <is>
          <t>Waterco Ltd</t>
        </is>
      </c>
      <c r="D648" t="inlineStr">
        <is>
          <t>AUD</t>
        </is>
      </c>
      <c r="E648" t="inlineStr">
        <is>
          <t>ASX</t>
        </is>
      </c>
    </row>
    <row r="649">
      <c r="B649" t="inlineStr">
        <is>
          <t>PGH</t>
        </is>
      </c>
      <c r="C649" t="inlineStr">
        <is>
          <t>Pact Group Holdings Ltd</t>
        </is>
      </c>
      <c r="D649" t="inlineStr">
        <is>
          <t>AUD</t>
        </is>
      </c>
      <c r="E649" t="inlineStr">
        <is>
          <t>ASX</t>
        </is>
      </c>
    </row>
    <row r="650">
      <c r="B650" t="inlineStr">
        <is>
          <t>AFP</t>
        </is>
      </c>
      <c r="C650" t="inlineStr">
        <is>
          <t>Aft Pharmaceuticals Ltd</t>
        </is>
      </c>
      <c r="D650" t="inlineStr">
        <is>
          <t>AUD</t>
        </is>
      </c>
      <c r="E650" t="inlineStr">
        <is>
          <t>ASX</t>
        </is>
      </c>
    </row>
    <row r="651">
      <c r="B651" t="inlineStr">
        <is>
          <t>LAU</t>
        </is>
      </c>
      <c r="C651" t="inlineStr">
        <is>
          <t>Lindsay Australia Ltd</t>
        </is>
      </c>
      <c r="D651" t="inlineStr">
        <is>
          <t>AUD</t>
        </is>
      </c>
      <c r="E651" t="inlineStr">
        <is>
          <t>ASX</t>
        </is>
      </c>
    </row>
    <row r="652">
      <c r="B652" t="inlineStr">
        <is>
          <t>SBM</t>
        </is>
      </c>
      <c r="C652" t="inlineStr">
        <is>
          <t>ST Barbara Ltd</t>
        </is>
      </c>
      <c r="D652" t="inlineStr">
        <is>
          <t>AUD</t>
        </is>
      </c>
      <c r="E652" t="inlineStr">
        <is>
          <t>ASX</t>
        </is>
      </c>
    </row>
    <row r="653">
      <c r="B653" t="inlineStr">
        <is>
          <t>ARX</t>
        </is>
      </c>
      <c r="C653" t="inlineStr">
        <is>
          <t>Aroa Biosurgery Ltd</t>
        </is>
      </c>
      <c r="D653" t="inlineStr">
        <is>
          <t>AUD</t>
        </is>
      </c>
      <c r="E653" t="inlineStr">
        <is>
          <t>ASX</t>
        </is>
      </c>
    </row>
    <row r="654">
      <c r="B654" t="inlineStr">
        <is>
          <t>BRE</t>
        </is>
      </c>
      <c r="C654" t="inlineStr">
        <is>
          <t>Brazilian Rare EARTHS Ltd</t>
        </is>
      </c>
      <c r="D654" t="inlineStr">
        <is>
          <t>AUD</t>
        </is>
      </c>
      <c r="E654" t="inlineStr">
        <is>
          <t>ASX</t>
        </is>
      </c>
    </row>
    <row r="655">
      <c r="B655" t="inlineStr">
        <is>
          <t>SYA</t>
        </is>
      </c>
      <c r="C655" t="inlineStr">
        <is>
          <t>Sayona Mining Ltd</t>
        </is>
      </c>
      <c r="D655" t="inlineStr">
        <is>
          <t>AUD</t>
        </is>
      </c>
      <c r="E655" t="inlineStr">
        <is>
          <t>ASX</t>
        </is>
      </c>
    </row>
    <row r="656">
      <c r="B656" t="inlineStr">
        <is>
          <t>SVR</t>
        </is>
      </c>
      <c r="C656" t="inlineStr">
        <is>
          <t>Solvar Ltd</t>
        </is>
      </c>
      <c r="D656" t="inlineStr">
        <is>
          <t>AUD</t>
        </is>
      </c>
      <c r="E656" t="inlineStr">
        <is>
          <t>ASX</t>
        </is>
      </c>
    </row>
    <row r="657">
      <c r="B657" t="inlineStr">
        <is>
          <t>SM1</t>
        </is>
      </c>
      <c r="C657" t="inlineStr">
        <is>
          <t>Synlait Milk Ltd</t>
        </is>
      </c>
      <c r="D657" t="inlineStr">
        <is>
          <t>AUD</t>
        </is>
      </c>
      <c r="E657" t="inlineStr">
        <is>
          <t>ASX</t>
        </is>
      </c>
    </row>
    <row r="658">
      <c r="B658" t="inlineStr">
        <is>
          <t>URF</t>
        </is>
      </c>
      <c r="C658" t="inlineStr">
        <is>
          <t>US Masters Residential Property Fund</t>
        </is>
      </c>
      <c r="D658" t="inlineStr">
        <is>
          <t>AUD</t>
        </is>
      </c>
      <c r="E658" t="inlineStr">
        <is>
          <t>ASX</t>
        </is>
      </c>
    </row>
    <row r="659">
      <c r="B659" t="inlineStr">
        <is>
          <t>CYC</t>
        </is>
      </c>
      <c r="C659" t="inlineStr">
        <is>
          <t>Cyclopharm Ltd</t>
        </is>
      </c>
      <c r="D659" t="inlineStr">
        <is>
          <t>AUD</t>
        </is>
      </c>
      <c r="E659" t="inlineStr">
        <is>
          <t>ASX</t>
        </is>
      </c>
    </row>
    <row r="660">
      <c r="B660" t="inlineStr">
        <is>
          <t>UMAX</t>
        </is>
      </c>
      <c r="C660" t="inlineStr">
        <is>
          <t>Betashares S&amp;P 500 Yield Maximiser Fund (Managed Fund)</t>
        </is>
      </c>
      <c r="D660" t="inlineStr">
        <is>
          <t>AUD</t>
        </is>
      </c>
      <c r="E660" t="inlineStr">
        <is>
          <t>ASX</t>
        </is>
      </c>
    </row>
    <row r="661">
      <c r="B661" t="inlineStr">
        <is>
          <t>OMH</t>
        </is>
      </c>
      <c r="C661" t="inlineStr">
        <is>
          <t>Om Holdings Ltd</t>
        </is>
      </c>
      <c r="D661" t="inlineStr">
        <is>
          <t>AUD</t>
        </is>
      </c>
      <c r="E661" t="inlineStr">
        <is>
          <t>ASX</t>
        </is>
      </c>
    </row>
    <row r="662">
      <c r="B662" t="inlineStr">
        <is>
          <t>ICOR</t>
        </is>
      </c>
      <c r="C662" t="inlineStr">
        <is>
          <t>Ishares Core Corporate Bond ETF</t>
        </is>
      </c>
      <c r="D662" t="inlineStr">
        <is>
          <t>AUD</t>
        </is>
      </c>
      <c r="E662" t="inlineStr">
        <is>
          <t>ASX</t>
        </is>
      </c>
    </row>
    <row r="663">
      <c r="B663" t="inlineStr">
        <is>
          <t>RHI</t>
        </is>
      </c>
      <c r="C663" t="inlineStr">
        <is>
          <t>Red Hill Minerals Ltd</t>
        </is>
      </c>
      <c r="D663" t="inlineStr">
        <is>
          <t>AUD</t>
        </is>
      </c>
      <c r="E663" t="inlineStr">
        <is>
          <t>ASX</t>
        </is>
      </c>
    </row>
    <row r="664">
      <c r="B664" t="inlineStr">
        <is>
          <t>ISEC</t>
        </is>
      </c>
      <c r="C664" t="inlineStr">
        <is>
          <t>Ishares Enhanced Cash ETF</t>
        </is>
      </c>
      <c r="D664" t="inlineStr">
        <is>
          <t>AUD</t>
        </is>
      </c>
      <c r="E664" t="inlineStr">
        <is>
          <t>ASX</t>
        </is>
      </c>
    </row>
    <row r="665">
      <c r="B665" t="inlineStr">
        <is>
          <t>RDV</t>
        </is>
      </c>
      <c r="C665" t="inlineStr">
        <is>
          <t>Russell Investments High Dividend Australian Shares ETF</t>
        </is>
      </c>
      <c r="D665" t="inlineStr">
        <is>
          <t>AUD</t>
        </is>
      </c>
      <c r="E665" t="inlineStr">
        <is>
          <t>ASX</t>
        </is>
      </c>
    </row>
    <row r="666">
      <c r="B666" t="inlineStr">
        <is>
          <t>XGOV</t>
        </is>
      </c>
      <c r="C666" t="inlineStr">
        <is>
          <t>Vaneck 10+ Year Australian Government Bond ETF</t>
        </is>
      </c>
      <c r="D666" t="inlineStr">
        <is>
          <t>AUD</t>
        </is>
      </c>
      <c r="E666" t="inlineStr">
        <is>
          <t>ASX</t>
        </is>
      </c>
    </row>
    <row r="667">
      <c r="B667" t="inlineStr">
        <is>
          <t>XRF</t>
        </is>
      </c>
      <c r="C667" t="inlineStr">
        <is>
          <t>XRF Scientific Ltd</t>
        </is>
      </c>
      <c r="D667" t="inlineStr">
        <is>
          <t>AUD</t>
        </is>
      </c>
      <c r="E667" t="inlineStr">
        <is>
          <t>ASX</t>
        </is>
      </c>
    </row>
    <row r="668">
      <c r="B668" t="inlineStr">
        <is>
          <t>XARO</t>
        </is>
      </c>
      <c r="C668" t="inlineStr">
        <is>
          <t>Ardea Real Outcome Bond Complex ETF</t>
        </is>
      </c>
      <c r="D668" t="inlineStr">
        <is>
          <t>AUD</t>
        </is>
      </c>
      <c r="E668" t="inlineStr">
        <is>
          <t>ASX</t>
        </is>
      </c>
    </row>
    <row r="669">
      <c r="B669" t="inlineStr">
        <is>
          <t>EGH</t>
        </is>
      </c>
      <c r="C669" t="inlineStr">
        <is>
          <t>Eureka Group Holdings Ltd</t>
        </is>
      </c>
      <c r="D669" t="inlineStr">
        <is>
          <t>AUD</t>
        </is>
      </c>
      <c r="E669" t="inlineStr">
        <is>
          <t>ASX</t>
        </is>
      </c>
    </row>
    <row r="670">
      <c r="B670" t="inlineStr">
        <is>
          <t>GDF</t>
        </is>
      </c>
      <c r="C670" t="inlineStr">
        <is>
          <t>Garda Property Group</t>
        </is>
      </c>
      <c r="D670" t="inlineStr">
        <is>
          <t>AUD</t>
        </is>
      </c>
      <c r="E670" t="inlineStr">
        <is>
          <t>ASX</t>
        </is>
      </c>
    </row>
    <row r="671">
      <c r="B671" t="inlineStr">
        <is>
          <t>ABA</t>
        </is>
      </c>
      <c r="C671" t="inlineStr">
        <is>
          <t>Auswide Bank Ltd</t>
        </is>
      </c>
      <c r="D671" t="inlineStr">
        <is>
          <t>AUD</t>
        </is>
      </c>
      <c r="E671" t="inlineStr">
        <is>
          <t>ASX</t>
        </is>
      </c>
    </row>
    <row r="672">
      <c r="B672" t="inlineStr">
        <is>
          <t>QHSM</t>
        </is>
      </c>
      <c r="C672" t="inlineStr">
        <is>
          <t>Vaneck MSCI Intl SML Comp Quality (Aud Hedged) ETF</t>
        </is>
      </c>
      <c r="D672" t="inlineStr">
        <is>
          <t>AUD</t>
        </is>
      </c>
      <c r="E672" t="inlineStr">
        <is>
          <t>ASX</t>
        </is>
      </c>
    </row>
    <row r="673">
      <c r="B673" t="inlineStr">
        <is>
          <t>AMA</t>
        </is>
      </c>
      <c r="C673" t="inlineStr">
        <is>
          <t>AMA Group Ltd</t>
        </is>
      </c>
      <c r="D673" t="inlineStr">
        <is>
          <t>AUD</t>
        </is>
      </c>
      <c r="E673" t="inlineStr">
        <is>
          <t>ASX</t>
        </is>
      </c>
    </row>
    <row r="674">
      <c r="B674" t="inlineStr">
        <is>
          <t>LGI</t>
        </is>
      </c>
      <c r="C674" t="inlineStr">
        <is>
          <t>LGI Ltd</t>
        </is>
      </c>
      <c r="D674" t="inlineStr">
        <is>
          <t>AUD</t>
        </is>
      </c>
      <c r="E674" t="inlineStr">
        <is>
          <t>ASX</t>
        </is>
      </c>
    </row>
    <row r="675">
      <c r="B675" t="inlineStr">
        <is>
          <t>ROBO</t>
        </is>
      </c>
      <c r="C675" t="inlineStr">
        <is>
          <t>Global X Robo Global Robotics &amp; Automation ETF</t>
        </is>
      </c>
      <c r="D675" t="inlineStr">
        <is>
          <t>AUD</t>
        </is>
      </c>
      <c r="E675" t="inlineStr">
        <is>
          <t>ASX</t>
        </is>
      </c>
    </row>
    <row r="676">
      <c r="B676" t="inlineStr">
        <is>
          <t>4DX</t>
        </is>
      </c>
      <c r="C676" t="inlineStr">
        <is>
          <t>4DMEDICAL Ltd</t>
        </is>
      </c>
      <c r="D676" t="inlineStr">
        <is>
          <t>AUD</t>
        </is>
      </c>
      <c r="E676" t="inlineStr">
        <is>
          <t>ASX</t>
        </is>
      </c>
    </row>
    <row r="677">
      <c r="B677" t="inlineStr">
        <is>
          <t>DXB</t>
        </is>
      </c>
      <c r="C677" t="inlineStr">
        <is>
          <t>Dimerix Ltd</t>
        </is>
      </c>
      <c r="D677" t="inlineStr">
        <is>
          <t>AUD</t>
        </is>
      </c>
      <c r="E677" t="inlineStr">
        <is>
          <t>ASX</t>
        </is>
      </c>
    </row>
    <row r="678">
      <c r="B678" t="inlineStr">
        <is>
          <t>SWM</t>
        </is>
      </c>
      <c r="C678" t="inlineStr">
        <is>
          <t>Seven West Media Ltd</t>
        </is>
      </c>
      <c r="D678" t="inlineStr">
        <is>
          <t>AUD</t>
        </is>
      </c>
      <c r="E678" t="inlineStr">
        <is>
          <t>ASX</t>
        </is>
      </c>
    </row>
    <row r="679">
      <c r="B679" t="inlineStr">
        <is>
          <t>ECF</t>
        </is>
      </c>
      <c r="C679" t="inlineStr">
        <is>
          <t>Elanor Commercial Property Fund</t>
        </is>
      </c>
      <c r="D679" t="inlineStr">
        <is>
          <t>AUD</t>
        </is>
      </c>
      <c r="E679" t="inlineStr">
        <is>
          <t>ASX</t>
        </is>
      </c>
    </row>
    <row r="680">
      <c r="B680" t="inlineStr">
        <is>
          <t>BBOZ</t>
        </is>
      </c>
      <c r="C680" t="inlineStr">
        <is>
          <t>Betashares Australian Strong Bear (Hedge Fund)</t>
        </is>
      </c>
      <c r="D680" t="inlineStr">
        <is>
          <t>AUD</t>
        </is>
      </c>
      <c r="E680" t="inlineStr">
        <is>
          <t>ASX</t>
        </is>
      </c>
    </row>
    <row r="681">
      <c r="B681" t="inlineStr">
        <is>
          <t>PEN</t>
        </is>
      </c>
      <c r="C681" t="inlineStr">
        <is>
          <t>Peninsula Energy Ltd</t>
        </is>
      </c>
      <c r="D681" t="inlineStr">
        <is>
          <t>AUD</t>
        </is>
      </c>
      <c r="E681" t="inlineStr">
        <is>
          <t>ASX</t>
        </is>
      </c>
    </row>
    <row r="682">
      <c r="B682" t="inlineStr">
        <is>
          <t>SHA</t>
        </is>
      </c>
      <c r="C682" t="inlineStr">
        <is>
          <t>Shape Australia Corporation Ltd</t>
        </is>
      </c>
      <c r="D682" t="inlineStr">
        <is>
          <t>AUD</t>
        </is>
      </c>
      <c r="E682" t="inlineStr">
        <is>
          <t>ASX</t>
        </is>
      </c>
    </row>
    <row r="683">
      <c r="B683" t="inlineStr">
        <is>
          <t>CVW</t>
        </is>
      </c>
      <c r="C683" t="inlineStr">
        <is>
          <t>Clearview Wealth Ltd</t>
        </is>
      </c>
      <c r="D683" t="inlineStr">
        <is>
          <t>AUD</t>
        </is>
      </c>
      <c r="E683" t="inlineStr">
        <is>
          <t>ASX</t>
        </is>
      </c>
    </row>
    <row r="684">
      <c r="B684" t="inlineStr">
        <is>
          <t>GRR</t>
        </is>
      </c>
      <c r="C684" t="inlineStr">
        <is>
          <t>Grange Resources Ltd</t>
        </is>
      </c>
      <c r="D684" t="inlineStr">
        <is>
          <t>AUD</t>
        </is>
      </c>
      <c r="E684" t="inlineStr">
        <is>
          <t>ASX</t>
        </is>
      </c>
    </row>
    <row r="685">
      <c r="B685" t="inlineStr">
        <is>
          <t>BBN</t>
        </is>
      </c>
      <c r="C685" t="inlineStr">
        <is>
          <t>Baby Bunting Group Ltd</t>
        </is>
      </c>
      <c r="D685" t="inlineStr">
        <is>
          <t>AUD</t>
        </is>
      </c>
      <c r="E685" t="inlineStr">
        <is>
          <t>ASX</t>
        </is>
      </c>
    </row>
    <row r="686">
      <c r="B686" t="inlineStr">
        <is>
          <t>WAX</t>
        </is>
      </c>
      <c r="C686" t="inlineStr">
        <is>
          <t>Wam Research Ltd</t>
        </is>
      </c>
      <c r="D686" t="inlineStr">
        <is>
          <t>AUD</t>
        </is>
      </c>
      <c r="E686" t="inlineStr">
        <is>
          <t>ASX</t>
        </is>
      </c>
    </row>
    <row r="687">
      <c r="B687" t="inlineStr">
        <is>
          <t>HVST</t>
        </is>
      </c>
      <c r="C687" t="inlineStr">
        <is>
          <t>Betashares Australian Dividend Harvester Fund (Managed Fund)</t>
        </is>
      </c>
      <c r="D687" t="inlineStr">
        <is>
          <t>AUD</t>
        </is>
      </c>
      <c r="E687" t="inlineStr">
        <is>
          <t>ASX</t>
        </is>
      </c>
    </row>
    <row r="688">
      <c r="B688" t="inlineStr">
        <is>
          <t>SKS</t>
        </is>
      </c>
      <c r="C688" t="inlineStr">
        <is>
          <t>SKS Technologies Group Ltd</t>
        </is>
      </c>
      <c r="D688" t="inlineStr">
        <is>
          <t>AUD</t>
        </is>
      </c>
      <c r="E688" t="inlineStr">
        <is>
          <t>ASX</t>
        </is>
      </c>
    </row>
    <row r="689">
      <c r="B689" t="inlineStr">
        <is>
          <t>AGI</t>
        </is>
      </c>
      <c r="C689" t="inlineStr">
        <is>
          <t>Ainsworth Game Technology Ltd</t>
        </is>
      </c>
      <c r="D689" t="inlineStr">
        <is>
          <t>AUD</t>
        </is>
      </c>
      <c r="E689" t="inlineStr">
        <is>
          <t>ASX</t>
        </is>
      </c>
    </row>
    <row r="690">
      <c r="B690" t="inlineStr">
        <is>
          <t>BTR</t>
        </is>
      </c>
      <c r="C690" t="inlineStr">
        <is>
          <t>Brightstar Resources Ltd</t>
        </is>
      </c>
      <c r="D690" t="inlineStr">
        <is>
          <t>AUD</t>
        </is>
      </c>
      <c r="E690" t="inlineStr">
        <is>
          <t>ASX</t>
        </is>
      </c>
    </row>
    <row r="691">
      <c r="B691" t="inlineStr">
        <is>
          <t>SYR</t>
        </is>
      </c>
      <c r="C691" t="inlineStr">
        <is>
          <t>Syrah Resources Ltd</t>
        </is>
      </c>
      <c r="D691" t="inlineStr">
        <is>
          <t>AUD</t>
        </is>
      </c>
      <c r="E691" t="inlineStr">
        <is>
          <t>ASX</t>
        </is>
      </c>
    </row>
    <row r="692">
      <c r="B692" t="inlineStr">
        <is>
          <t>WIRE</t>
        </is>
      </c>
      <c r="C692" t="inlineStr">
        <is>
          <t>Global X Copper Miners ETF</t>
        </is>
      </c>
      <c r="D692" t="inlineStr">
        <is>
          <t>AUD</t>
        </is>
      </c>
      <c r="E692" t="inlineStr">
        <is>
          <t>ASX</t>
        </is>
      </c>
    </row>
    <row r="693">
      <c r="B693" t="inlineStr">
        <is>
          <t>GVF</t>
        </is>
      </c>
      <c r="C693" t="inlineStr">
        <is>
          <t>Staude Capital Global Value Fund Ltd</t>
        </is>
      </c>
      <c r="D693" t="inlineStr">
        <is>
          <t>AUD</t>
        </is>
      </c>
      <c r="E693" t="inlineStr">
        <is>
          <t>ASX</t>
        </is>
      </c>
    </row>
    <row r="694">
      <c r="B694" t="inlineStr">
        <is>
          <t>STP</t>
        </is>
      </c>
      <c r="C694" t="inlineStr">
        <is>
          <t>Step One Clothing Ltd</t>
        </is>
      </c>
      <c r="D694" t="inlineStr">
        <is>
          <t>AUD</t>
        </is>
      </c>
      <c r="E694" t="inlineStr">
        <is>
          <t>ASX</t>
        </is>
      </c>
    </row>
    <row r="695">
      <c r="B695" t="inlineStr">
        <is>
          <t>VDCO</t>
        </is>
      </c>
      <c r="C695" t="inlineStr">
        <is>
          <t>Vanguard Diversified Conservative INDEX ETF</t>
        </is>
      </c>
      <c r="D695" t="inlineStr">
        <is>
          <t>AUD</t>
        </is>
      </c>
      <c r="E695" t="inlineStr">
        <is>
          <t>ASX</t>
        </is>
      </c>
    </row>
    <row r="696">
      <c r="B696" t="inlineStr">
        <is>
          <t>NFNG</t>
        </is>
      </c>
      <c r="C696" t="inlineStr">
        <is>
          <t>Nufarm Finance (NZ) Ltd</t>
        </is>
      </c>
      <c r="D696" t="inlineStr">
        <is>
          <t>AUD</t>
        </is>
      </c>
      <c r="E696" t="inlineStr">
        <is>
          <t>ASX</t>
        </is>
      </c>
    </row>
    <row r="697">
      <c r="B697" t="inlineStr">
        <is>
          <t>CVC</t>
        </is>
      </c>
      <c r="C697" t="inlineStr">
        <is>
          <t>CVC Ltd</t>
        </is>
      </c>
      <c r="D697" t="inlineStr">
        <is>
          <t>AUD</t>
        </is>
      </c>
      <c r="E697" t="inlineStr">
        <is>
          <t>ASX</t>
        </is>
      </c>
    </row>
    <row r="698">
      <c r="B698" t="inlineStr">
        <is>
          <t>LRV</t>
        </is>
      </c>
      <c r="C698" t="inlineStr">
        <is>
          <t>Larvotto Resources Ltd</t>
        </is>
      </c>
      <c r="D698" t="inlineStr">
        <is>
          <t>AUD</t>
        </is>
      </c>
      <c r="E698" t="inlineStr">
        <is>
          <t>ASX</t>
        </is>
      </c>
    </row>
    <row r="699">
      <c r="B699" t="inlineStr">
        <is>
          <t>MVB</t>
        </is>
      </c>
      <c r="C699" t="inlineStr">
        <is>
          <t>Vaneck Australian Banks ETF</t>
        </is>
      </c>
      <c r="D699" t="inlineStr">
        <is>
          <t>AUD</t>
        </is>
      </c>
      <c r="E699" t="inlineStr">
        <is>
          <t>ASX</t>
        </is>
      </c>
    </row>
    <row r="700">
      <c r="B700" t="inlineStr">
        <is>
          <t>TVN</t>
        </is>
      </c>
      <c r="C700" t="inlineStr">
        <is>
          <t>Tivan Ltd</t>
        </is>
      </c>
      <c r="D700" t="inlineStr">
        <is>
          <t>AUD</t>
        </is>
      </c>
      <c r="E700" t="inlineStr">
        <is>
          <t>ASX</t>
        </is>
      </c>
    </row>
    <row r="701">
      <c r="B701" t="inlineStr">
        <is>
          <t>TLG</t>
        </is>
      </c>
      <c r="C701" t="inlineStr">
        <is>
          <t>Talga Group Ltd</t>
        </is>
      </c>
      <c r="D701" t="inlineStr">
        <is>
          <t>AUD</t>
        </is>
      </c>
      <c r="E701" t="inlineStr">
        <is>
          <t>ASX</t>
        </is>
      </c>
    </row>
    <row r="702">
      <c r="B702" t="inlineStr">
        <is>
          <t>CRYP</t>
        </is>
      </c>
      <c r="C702" t="inlineStr">
        <is>
          <t>Betashares CRYPTO Innovators ETF</t>
        </is>
      </c>
      <c r="D702" t="inlineStr">
        <is>
          <t>AUD</t>
        </is>
      </c>
      <c r="E702" t="inlineStr">
        <is>
          <t>ASX</t>
        </is>
      </c>
    </row>
    <row r="703">
      <c r="B703" t="inlineStr">
        <is>
          <t>EOS</t>
        </is>
      </c>
      <c r="C703" t="inlineStr">
        <is>
          <t>Electro Optic Systems Holdings Ltd</t>
        </is>
      </c>
      <c r="D703" t="inlineStr">
        <is>
          <t>AUD</t>
        </is>
      </c>
      <c r="E703" t="inlineStr">
        <is>
          <t>ASX</t>
        </is>
      </c>
    </row>
    <row r="704">
      <c r="B704" t="inlineStr">
        <is>
          <t>TBR</t>
        </is>
      </c>
      <c r="C704" t="inlineStr">
        <is>
          <t>Tribune Resources Ltd</t>
        </is>
      </c>
      <c r="D704" t="inlineStr">
        <is>
          <t>AUD</t>
        </is>
      </c>
      <c r="E704" t="inlineStr">
        <is>
          <t>ASX</t>
        </is>
      </c>
    </row>
    <row r="705">
      <c r="B705" t="inlineStr">
        <is>
          <t>PIXX</t>
        </is>
      </c>
      <c r="C705" t="inlineStr">
        <is>
          <t>Platinum International Fund (Quoted Managed Hedge Fund)</t>
        </is>
      </c>
      <c r="D705" t="inlineStr">
        <is>
          <t>AUD</t>
        </is>
      </c>
      <c r="E705" t="inlineStr">
        <is>
          <t>ASX</t>
        </is>
      </c>
    </row>
    <row r="706">
      <c r="B706" t="inlineStr">
        <is>
          <t>CVN</t>
        </is>
      </c>
      <c r="C706" t="inlineStr">
        <is>
          <t>Carnarvon Energy Ltd</t>
        </is>
      </c>
      <c r="D706" t="inlineStr">
        <is>
          <t>AUD</t>
        </is>
      </c>
      <c r="E706" t="inlineStr">
        <is>
          <t>ASX</t>
        </is>
      </c>
    </row>
    <row r="707">
      <c r="B707" t="inlineStr">
        <is>
          <t>IIND</t>
        </is>
      </c>
      <c r="C707" t="inlineStr">
        <is>
          <t>Betashares India Quality ETF</t>
        </is>
      </c>
      <c r="D707" t="inlineStr">
        <is>
          <t>AUD</t>
        </is>
      </c>
      <c r="E707" t="inlineStr">
        <is>
          <t>ASX</t>
        </is>
      </c>
    </row>
    <row r="708">
      <c r="B708" t="inlineStr">
        <is>
          <t>LGL</t>
        </is>
      </c>
      <c r="C708" t="inlineStr">
        <is>
          <t>Lynch Group Holdings Ltd</t>
        </is>
      </c>
      <c r="D708" t="inlineStr">
        <is>
          <t>AUD</t>
        </is>
      </c>
      <c r="E708" t="inlineStr">
        <is>
          <t>ASX</t>
        </is>
      </c>
    </row>
    <row r="709">
      <c r="B709" t="inlineStr">
        <is>
          <t>ONE</t>
        </is>
      </c>
      <c r="C709" t="inlineStr">
        <is>
          <t>Oneview Healthcare Plc</t>
        </is>
      </c>
      <c r="D709" t="inlineStr">
        <is>
          <t>AUD</t>
        </is>
      </c>
      <c r="E709" t="inlineStr">
        <is>
          <t>ASX</t>
        </is>
      </c>
    </row>
    <row r="710">
      <c r="B710" t="inlineStr">
        <is>
          <t>GLDN</t>
        </is>
      </c>
      <c r="C710" t="inlineStr">
        <is>
          <t>Ishares Physical Gold ETF</t>
        </is>
      </c>
      <c r="D710" t="inlineStr">
        <is>
          <t>AUD</t>
        </is>
      </c>
      <c r="E710" t="inlineStr">
        <is>
          <t>ASX</t>
        </is>
      </c>
    </row>
    <row r="711">
      <c r="B711" t="inlineStr">
        <is>
          <t>GGOV</t>
        </is>
      </c>
      <c r="C711" t="inlineStr">
        <is>
          <t>Betashares US Treasury Bond 20+YR ETF - CCY Hedged</t>
        </is>
      </c>
      <c r="D711" t="inlineStr">
        <is>
          <t>AUD</t>
        </is>
      </c>
      <c r="E711" t="inlineStr">
        <is>
          <t>ASX</t>
        </is>
      </c>
    </row>
    <row r="712">
      <c r="B712" t="inlineStr">
        <is>
          <t>FND</t>
        </is>
      </c>
      <c r="C712" t="inlineStr">
        <is>
          <t>Findi Ltd</t>
        </is>
      </c>
      <c r="D712" t="inlineStr">
        <is>
          <t>AUD</t>
        </is>
      </c>
      <c r="E712" t="inlineStr">
        <is>
          <t>ASX</t>
        </is>
      </c>
    </row>
    <row r="713">
      <c r="B713" t="inlineStr">
        <is>
          <t>EOL</t>
        </is>
      </c>
      <c r="C713" t="inlineStr">
        <is>
          <t>Energy One Ltd</t>
        </is>
      </c>
      <c r="D713" t="inlineStr">
        <is>
          <t>AUD</t>
        </is>
      </c>
      <c r="E713" t="inlineStr">
        <is>
          <t>ASX</t>
        </is>
      </c>
    </row>
    <row r="714">
      <c r="B714" t="inlineStr">
        <is>
          <t>RAC</t>
        </is>
      </c>
      <c r="C714" t="inlineStr">
        <is>
          <t>Race Oncology Ltd</t>
        </is>
      </c>
      <c r="D714" t="inlineStr">
        <is>
          <t>AUD</t>
        </is>
      </c>
      <c r="E714" t="inlineStr">
        <is>
          <t>ASX</t>
        </is>
      </c>
    </row>
    <row r="715">
      <c r="B715" t="inlineStr">
        <is>
          <t>IHHY</t>
        </is>
      </c>
      <c r="C715" t="inlineStr">
        <is>
          <t>Ishares Global High Yield Bond (Aud Hedged) ETF</t>
        </is>
      </c>
      <c r="D715" t="inlineStr">
        <is>
          <t>AUD</t>
        </is>
      </c>
      <c r="E715" t="inlineStr">
        <is>
          <t>ASX</t>
        </is>
      </c>
    </row>
    <row r="716">
      <c r="B716" t="inlineStr">
        <is>
          <t>GRX</t>
        </is>
      </c>
      <c r="C716" t="inlineStr">
        <is>
          <t>Greenx Metals Ltd</t>
        </is>
      </c>
      <c r="D716" t="inlineStr">
        <is>
          <t>AUD</t>
        </is>
      </c>
      <c r="E716" t="inlineStr">
        <is>
          <t>ASX</t>
        </is>
      </c>
    </row>
    <row r="717">
      <c r="B717" t="inlineStr">
        <is>
          <t>VYS</t>
        </is>
      </c>
      <c r="C717" t="inlineStr">
        <is>
          <t>Vysarn Ltd</t>
        </is>
      </c>
      <c r="D717" t="inlineStr">
        <is>
          <t>AUD</t>
        </is>
      </c>
      <c r="E717" t="inlineStr">
        <is>
          <t>ASX</t>
        </is>
      </c>
    </row>
    <row r="718">
      <c r="B718" t="inlineStr">
        <is>
          <t>RGB</t>
        </is>
      </c>
      <c r="C718" t="inlineStr">
        <is>
          <t>Russell Investments Australian Government Bond ETF</t>
        </is>
      </c>
      <c r="D718" t="inlineStr">
        <is>
          <t>AUD</t>
        </is>
      </c>
      <c r="E718" t="inlineStr">
        <is>
          <t>ASX</t>
        </is>
      </c>
    </row>
    <row r="719">
      <c r="B719" t="inlineStr">
        <is>
          <t>ART</t>
        </is>
      </c>
      <c r="C719" t="inlineStr">
        <is>
          <t>Airtasker Ltd</t>
        </is>
      </c>
      <c r="D719" t="inlineStr">
        <is>
          <t>AUD</t>
        </is>
      </c>
      <c r="E719" t="inlineStr">
        <is>
          <t>ASX</t>
        </is>
      </c>
    </row>
    <row r="720">
      <c r="B720" t="inlineStr">
        <is>
          <t>ALA</t>
        </is>
      </c>
      <c r="C720" t="inlineStr">
        <is>
          <t>Arovella Therapeutics Ltd</t>
        </is>
      </c>
      <c r="D720" t="inlineStr">
        <is>
          <t>AUD</t>
        </is>
      </c>
      <c r="E720" t="inlineStr">
        <is>
          <t>ASX</t>
        </is>
      </c>
    </row>
    <row r="721">
      <c r="B721" t="inlineStr">
        <is>
          <t>A1N</t>
        </is>
      </c>
      <c r="C721" t="inlineStr">
        <is>
          <t>Arn Media Ltd</t>
        </is>
      </c>
      <c r="D721" t="inlineStr">
        <is>
          <t>AUD</t>
        </is>
      </c>
      <c r="E721" t="inlineStr">
        <is>
          <t>ASX</t>
        </is>
      </c>
    </row>
    <row r="722">
      <c r="B722" t="inlineStr">
        <is>
          <t>VBTC</t>
        </is>
      </c>
      <c r="C722" t="inlineStr">
        <is>
          <t>Vaneck Bitcoin ETF</t>
        </is>
      </c>
      <c r="D722" t="inlineStr">
        <is>
          <t>AUD</t>
        </is>
      </c>
      <c r="E722" t="inlineStr">
        <is>
          <t>ASX</t>
        </is>
      </c>
    </row>
    <row r="723">
      <c r="B723" t="inlineStr">
        <is>
          <t>FRI</t>
        </is>
      </c>
      <c r="C723" t="inlineStr">
        <is>
          <t>Finbar Group Ltd</t>
        </is>
      </c>
      <c r="D723" t="inlineStr">
        <is>
          <t>AUD</t>
        </is>
      </c>
      <c r="E723" t="inlineStr">
        <is>
          <t>ASX</t>
        </is>
      </c>
    </row>
    <row r="724">
      <c r="B724" t="inlineStr">
        <is>
          <t>ESGI</t>
        </is>
      </c>
      <c r="C724" t="inlineStr">
        <is>
          <t>Vaneck MSCI International Sustainable Equity ETF</t>
        </is>
      </c>
      <c r="D724" t="inlineStr">
        <is>
          <t>AUD</t>
        </is>
      </c>
      <c r="E724" t="inlineStr">
        <is>
          <t>ASX</t>
        </is>
      </c>
    </row>
    <row r="725">
      <c r="B725" t="inlineStr">
        <is>
          <t>CTM</t>
        </is>
      </c>
      <c r="C725" t="inlineStr">
        <is>
          <t>Centaurus Metals Ltd</t>
        </is>
      </c>
      <c r="D725" t="inlineStr">
        <is>
          <t>AUD</t>
        </is>
      </c>
      <c r="E725" t="inlineStr">
        <is>
          <t>ASX</t>
        </is>
      </c>
    </row>
    <row r="726">
      <c r="B726" t="inlineStr">
        <is>
          <t>3PL</t>
        </is>
      </c>
      <c r="C726" t="inlineStr">
        <is>
          <t>3P Learning Ltd</t>
        </is>
      </c>
      <c r="D726" t="inlineStr">
        <is>
          <t>AUD</t>
        </is>
      </c>
      <c r="E726" t="inlineStr">
        <is>
          <t>ASX</t>
        </is>
      </c>
    </row>
    <row r="727">
      <c r="B727" t="inlineStr">
        <is>
          <t>3DA</t>
        </is>
      </c>
      <c r="C727" t="inlineStr">
        <is>
          <t>Amaero International Ltd</t>
        </is>
      </c>
      <c r="D727" t="inlineStr">
        <is>
          <t>AUD</t>
        </is>
      </c>
      <c r="E727" t="inlineStr">
        <is>
          <t>ASX</t>
        </is>
      </c>
    </row>
    <row r="728">
      <c r="B728" t="inlineStr">
        <is>
          <t>CDM</t>
        </is>
      </c>
      <c r="C728" t="inlineStr">
        <is>
          <t>Cadence Capital Ltd</t>
        </is>
      </c>
      <c r="D728" t="inlineStr">
        <is>
          <t>AUD</t>
        </is>
      </c>
      <c r="E728" t="inlineStr">
        <is>
          <t>ASX</t>
        </is>
      </c>
    </row>
    <row r="729">
      <c r="B729" t="inlineStr">
        <is>
          <t>CGS</t>
        </is>
      </c>
      <c r="C729" t="inlineStr">
        <is>
          <t>Cogstate Ltd</t>
        </is>
      </c>
      <c r="D729" t="inlineStr">
        <is>
          <t>AUD</t>
        </is>
      </c>
      <c r="E729" t="inlineStr">
        <is>
          <t>ASX</t>
        </is>
      </c>
    </row>
    <row r="730">
      <c r="B730" t="inlineStr">
        <is>
          <t>D2O</t>
        </is>
      </c>
      <c r="C730" t="inlineStr">
        <is>
          <t>Duxton Water Ltd</t>
        </is>
      </c>
      <c r="D730" t="inlineStr">
        <is>
          <t>AUD</t>
        </is>
      </c>
      <c r="E730" t="inlineStr">
        <is>
          <t>ASX</t>
        </is>
      </c>
    </row>
    <row r="731">
      <c r="B731" t="inlineStr">
        <is>
          <t>BBT</t>
        </is>
      </c>
      <c r="C731" t="inlineStr">
        <is>
          <t>Bluebet Holdings Ltd</t>
        </is>
      </c>
      <c r="D731" t="inlineStr">
        <is>
          <t>AUD</t>
        </is>
      </c>
      <c r="E731" t="inlineStr">
        <is>
          <t>ASX</t>
        </is>
      </c>
    </row>
    <row r="732">
      <c r="B732" t="inlineStr">
        <is>
          <t>FEX</t>
        </is>
      </c>
      <c r="C732" t="inlineStr">
        <is>
          <t>FENIX Resources Ltd</t>
        </is>
      </c>
      <c r="D732" t="inlineStr">
        <is>
          <t>AUD</t>
        </is>
      </c>
      <c r="E732" t="inlineStr">
        <is>
          <t>ASX</t>
        </is>
      </c>
    </row>
    <row r="733">
      <c r="B733" t="inlineStr">
        <is>
          <t>PMT</t>
        </is>
      </c>
      <c r="C733" t="inlineStr">
        <is>
          <t>Patriot Battery Metals Inc</t>
        </is>
      </c>
      <c r="D733" t="inlineStr">
        <is>
          <t>AUD</t>
        </is>
      </c>
      <c r="E733" t="inlineStr">
        <is>
          <t>ASX</t>
        </is>
      </c>
    </row>
    <row r="734">
      <c r="B734" t="inlineStr">
        <is>
          <t>CEH</t>
        </is>
      </c>
      <c r="C734" t="inlineStr">
        <is>
          <t>Coast Entertainment Holdings Ltd</t>
        </is>
      </c>
      <c r="D734" t="inlineStr">
        <is>
          <t>AUD</t>
        </is>
      </c>
      <c r="E734" t="inlineStr">
        <is>
          <t>ASX</t>
        </is>
      </c>
    </row>
    <row r="735">
      <c r="B735" t="inlineStr">
        <is>
          <t>AVH</t>
        </is>
      </c>
      <c r="C735" t="inlineStr">
        <is>
          <t>Avita Medical Inc</t>
        </is>
      </c>
      <c r="D735" t="inlineStr">
        <is>
          <t>AUD</t>
        </is>
      </c>
      <c r="E735" t="inlineStr">
        <is>
          <t>ASX</t>
        </is>
      </c>
    </row>
    <row r="736">
      <c r="B736" t="inlineStr">
        <is>
          <t>WHI</t>
        </is>
      </c>
      <c r="C736" t="inlineStr">
        <is>
          <t>Whitefield Income Ltd</t>
        </is>
      </c>
      <c r="D736" t="inlineStr">
        <is>
          <t>AUD</t>
        </is>
      </c>
      <c r="E736" t="inlineStr">
        <is>
          <t>ASX</t>
        </is>
      </c>
    </row>
    <row r="737">
      <c r="B737" t="inlineStr">
        <is>
          <t>WAR</t>
        </is>
      </c>
      <c r="C737" t="inlineStr">
        <is>
          <t>Wam Strategic Value Ltd</t>
        </is>
      </c>
      <c r="D737" t="inlineStr">
        <is>
          <t>AUD</t>
        </is>
      </c>
      <c r="E737" t="inlineStr">
        <is>
          <t>ASX</t>
        </is>
      </c>
    </row>
    <row r="738">
      <c r="B738" t="inlineStr">
        <is>
          <t>FBR</t>
        </is>
      </c>
      <c r="C738" t="inlineStr">
        <is>
          <t>FBR Ltd</t>
        </is>
      </c>
      <c r="D738" t="inlineStr">
        <is>
          <t>AUD</t>
        </is>
      </c>
      <c r="E738" t="inlineStr">
        <is>
          <t>ASX</t>
        </is>
      </c>
    </row>
    <row r="739">
      <c r="B739" t="inlineStr">
        <is>
          <t>DUG</t>
        </is>
      </c>
      <c r="C739" t="inlineStr">
        <is>
          <t>DUG Technology Ltd</t>
        </is>
      </c>
      <c r="D739" t="inlineStr">
        <is>
          <t>AUD</t>
        </is>
      </c>
      <c r="E739" t="inlineStr">
        <is>
          <t>ASX</t>
        </is>
      </c>
    </row>
    <row r="740">
      <c r="B740" t="inlineStr">
        <is>
          <t>MHJ</t>
        </is>
      </c>
      <c r="C740" t="inlineStr">
        <is>
          <t>Michael Hill International Ltd</t>
        </is>
      </c>
      <c r="D740" t="inlineStr">
        <is>
          <t>AUD</t>
        </is>
      </c>
      <c r="E740" t="inlineStr">
        <is>
          <t>ASX</t>
        </is>
      </c>
    </row>
    <row r="741">
      <c r="B741" t="inlineStr">
        <is>
          <t>EEG</t>
        </is>
      </c>
      <c r="C741" t="inlineStr">
        <is>
          <t>Empire Energy Group Ltd</t>
        </is>
      </c>
      <c r="D741" t="inlineStr">
        <is>
          <t>AUD</t>
        </is>
      </c>
      <c r="E741" t="inlineStr">
        <is>
          <t>ASX</t>
        </is>
      </c>
    </row>
    <row r="742">
      <c r="B742" t="inlineStr">
        <is>
          <t>CXO</t>
        </is>
      </c>
      <c r="C742" t="inlineStr">
        <is>
          <t>Core Lithium Ltd</t>
        </is>
      </c>
      <c r="D742" t="inlineStr">
        <is>
          <t>AUD</t>
        </is>
      </c>
      <c r="E742" t="inlineStr">
        <is>
          <t>ASX</t>
        </is>
      </c>
    </row>
    <row r="743">
      <c r="B743" t="inlineStr">
        <is>
          <t>COG</t>
        </is>
      </c>
      <c r="C743" t="inlineStr">
        <is>
          <t>COG Financial Services Ltd</t>
        </is>
      </c>
      <c r="D743" t="inlineStr">
        <is>
          <t>AUD</t>
        </is>
      </c>
      <c r="E743" t="inlineStr">
        <is>
          <t>ASX</t>
        </is>
      </c>
    </row>
    <row r="744">
      <c r="B744" t="inlineStr">
        <is>
          <t>MEI</t>
        </is>
      </c>
      <c r="C744" t="inlineStr">
        <is>
          <t>Meteoric Resources NL</t>
        </is>
      </c>
      <c r="D744" t="inlineStr">
        <is>
          <t>AUD</t>
        </is>
      </c>
      <c r="E744" t="inlineStr">
        <is>
          <t>ASX</t>
        </is>
      </c>
    </row>
    <row r="745">
      <c r="B745" t="inlineStr">
        <is>
          <t>WMA</t>
        </is>
      </c>
      <c r="C745" t="inlineStr">
        <is>
          <t>Wam Alternative Assets Ltd</t>
        </is>
      </c>
      <c r="D745" t="inlineStr">
        <is>
          <t>AUD</t>
        </is>
      </c>
      <c r="E745" t="inlineStr">
        <is>
          <t>ASX</t>
        </is>
      </c>
    </row>
    <row r="746">
      <c r="B746" t="inlineStr">
        <is>
          <t>A1M</t>
        </is>
      </c>
      <c r="C746" t="inlineStr">
        <is>
          <t>Aic Mines Ltd</t>
        </is>
      </c>
      <c r="D746" t="inlineStr">
        <is>
          <t>AUD</t>
        </is>
      </c>
      <c r="E746" t="inlineStr">
        <is>
          <t>ASX</t>
        </is>
      </c>
    </row>
    <row r="747">
      <c r="B747" t="inlineStr">
        <is>
          <t>WIA</t>
        </is>
      </c>
      <c r="C747" t="inlineStr">
        <is>
          <t>WIA Gold Ltd</t>
        </is>
      </c>
      <c r="D747" t="inlineStr">
        <is>
          <t>AUD</t>
        </is>
      </c>
      <c r="E747" t="inlineStr">
        <is>
          <t>ASX</t>
        </is>
      </c>
    </row>
    <row r="748">
      <c r="B748" t="inlineStr">
        <is>
          <t>DRUG</t>
        </is>
      </c>
      <c r="C748" t="inlineStr">
        <is>
          <t>Betashares Global Healthcare Currency Hedged ETF</t>
        </is>
      </c>
      <c r="D748" t="inlineStr">
        <is>
          <t>AUD</t>
        </is>
      </c>
      <c r="E748" t="inlineStr">
        <is>
          <t>ASX</t>
        </is>
      </c>
    </row>
    <row r="749">
      <c r="B749" t="inlineStr">
        <is>
          <t>ERD</t>
        </is>
      </c>
      <c r="C749" t="inlineStr">
        <is>
          <t>Eroad Ltd</t>
        </is>
      </c>
      <c r="D749" t="inlineStr">
        <is>
          <t>AUD</t>
        </is>
      </c>
      <c r="E749" t="inlineStr">
        <is>
          <t>ASX</t>
        </is>
      </c>
    </row>
    <row r="750">
      <c r="B750" t="inlineStr">
        <is>
          <t>AAR</t>
        </is>
      </c>
      <c r="C750" t="inlineStr">
        <is>
          <t>Astral Resources NL</t>
        </is>
      </c>
      <c r="D750" t="inlineStr">
        <is>
          <t>AUD</t>
        </is>
      </c>
      <c r="E750" t="inlineStr">
        <is>
          <t>ASX</t>
        </is>
      </c>
    </row>
    <row r="751">
      <c r="B751" t="inlineStr">
        <is>
          <t>UTIP</t>
        </is>
      </c>
      <c r="C751" t="inlineStr">
        <is>
          <t>Betashares Inflation Protected US TRSY Bond CH ETF</t>
        </is>
      </c>
      <c r="D751" t="inlineStr">
        <is>
          <t>AUD</t>
        </is>
      </c>
      <c r="E751" t="inlineStr">
        <is>
          <t>ASX</t>
        </is>
      </c>
    </row>
    <row r="752">
      <c r="B752" t="inlineStr">
        <is>
          <t>BTI</t>
        </is>
      </c>
      <c r="C752" t="inlineStr">
        <is>
          <t>Bailador Technology Investments Ltd</t>
        </is>
      </c>
      <c r="D752" t="inlineStr">
        <is>
          <t>AUD</t>
        </is>
      </c>
      <c r="E752" t="inlineStr">
        <is>
          <t>ASX</t>
        </is>
      </c>
    </row>
    <row r="753">
      <c r="B753" t="inlineStr">
        <is>
          <t>AVR</t>
        </is>
      </c>
      <c r="C753" t="inlineStr">
        <is>
          <t>Anteris Technologies Global Corp</t>
        </is>
      </c>
      <c r="D753" t="inlineStr">
        <is>
          <t>AUD</t>
        </is>
      </c>
      <c r="E753" t="inlineStr">
        <is>
          <t>ASX</t>
        </is>
      </c>
    </row>
    <row r="754">
      <c r="B754" t="inlineStr">
        <is>
          <t>UOS</t>
        </is>
      </c>
      <c r="C754" t="inlineStr">
        <is>
          <t>United Overseas Australia Ltd</t>
        </is>
      </c>
      <c r="D754" t="inlineStr">
        <is>
          <t>AUD</t>
        </is>
      </c>
      <c r="E754" t="inlineStr">
        <is>
          <t>ASX</t>
        </is>
      </c>
    </row>
    <row r="755">
      <c r="B755" t="inlineStr">
        <is>
          <t>NDIA</t>
        </is>
      </c>
      <c r="C755" t="inlineStr">
        <is>
          <t>Global X India Nifty 50 ETF</t>
        </is>
      </c>
      <c r="D755" t="inlineStr">
        <is>
          <t>AUD</t>
        </is>
      </c>
      <c r="E755" t="inlineStr">
        <is>
          <t>ASX</t>
        </is>
      </c>
    </row>
    <row r="756">
      <c r="B756" t="inlineStr">
        <is>
          <t>PAR</t>
        </is>
      </c>
      <c r="C756" t="inlineStr">
        <is>
          <t>Paradigm Biopharmaceuticals Ltd</t>
        </is>
      </c>
      <c r="D756" t="inlineStr">
        <is>
          <t>AUD</t>
        </is>
      </c>
      <c r="E756" t="inlineStr">
        <is>
          <t>ASX</t>
        </is>
      </c>
    </row>
    <row r="757">
      <c r="B757" t="inlineStr">
        <is>
          <t>EMKT</t>
        </is>
      </c>
      <c r="C757" t="inlineStr">
        <is>
          <t>Vaneck MSCI Multifactor Em Markets Equity ETF</t>
        </is>
      </c>
      <c r="D757" t="inlineStr">
        <is>
          <t>AUD</t>
        </is>
      </c>
      <c r="E757" t="inlineStr">
        <is>
          <t>ASX</t>
        </is>
      </c>
    </row>
    <row r="758">
      <c r="B758" t="inlineStr">
        <is>
          <t>AZY</t>
        </is>
      </c>
      <c r="C758" t="inlineStr">
        <is>
          <t>Antipa Minerals Ltd</t>
        </is>
      </c>
      <c r="D758" t="inlineStr">
        <is>
          <t>AUD</t>
        </is>
      </c>
      <c r="E758" t="inlineStr">
        <is>
          <t>ASX</t>
        </is>
      </c>
    </row>
    <row r="759">
      <c r="B759" t="inlineStr">
        <is>
          <t>ESTX</t>
        </is>
      </c>
      <c r="C759" t="inlineStr">
        <is>
          <t>Global X Euro STOXX 50 ETF</t>
        </is>
      </c>
      <c r="D759" t="inlineStr">
        <is>
          <t>AUD</t>
        </is>
      </c>
      <c r="E759" t="inlineStr">
        <is>
          <t>ASX</t>
        </is>
      </c>
    </row>
    <row r="760">
      <c r="B760" t="inlineStr">
        <is>
          <t>AKP</t>
        </is>
      </c>
      <c r="C760" t="inlineStr">
        <is>
          <t>Audio Pixels Holdings Ltd</t>
        </is>
      </c>
      <c r="D760" t="inlineStr">
        <is>
          <t>AUD</t>
        </is>
      </c>
      <c r="E760" t="inlineStr">
        <is>
          <t>ASX</t>
        </is>
      </c>
    </row>
    <row r="761">
      <c r="B761" t="inlineStr">
        <is>
          <t>ETPMAG</t>
        </is>
      </c>
      <c r="C761" t="inlineStr">
        <is>
          <t>Global X Metal Securities Australia Ltd</t>
        </is>
      </c>
      <c r="D761" t="inlineStr">
        <is>
          <t>AUD</t>
        </is>
      </c>
      <c r="E761" t="inlineStr">
        <is>
          <t>ASX</t>
        </is>
      </c>
    </row>
    <row r="762">
      <c r="B762" t="inlineStr">
        <is>
          <t>NZM</t>
        </is>
      </c>
      <c r="C762" t="inlineStr">
        <is>
          <t>NZME Ltd</t>
        </is>
      </c>
      <c r="D762" t="inlineStr">
        <is>
          <t>AUD</t>
        </is>
      </c>
      <c r="E762" t="inlineStr">
        <is>
          <t>ASX</t>
        </is>
      </c>
    </row>
    <row r="763">
      <c r="B763" t="inlineStr">
        <is>
          <t>AOF</t>
        </is>
      </c>
      <c r="C763" t="inlineStr">
        <is>
          <t>Australian Unity Office Fund</t>
        </is>
      </c>
      <c r="D763" t="inlineStr">
        <is>
          <t>AUD</t>
        </is>
      </c>
      <c r="E763" t="inlineStr">
        <is>
          <t>ASX</t>
        </is>
      </c>
    </row>
    <row r="764">
      <c r="B764" t="inlineStr">
        <is>
          <t>QPM</t>
        </is>
      </c>
      <c r="C764" t="inlineStr">
        <is>
          <t>QPM Energy Ltd</t>
        </is>
      </c>
      <c r="D764" t="inlineStr">
        <is>
          <t>AUD</t>
        </is>
      </c>
      <c r="E764" t="inlineStr">
        <is>
          <t>ASX</t>
        </is>
      </c>
    </row>
    <row r="765">
      <c r="B765" t="inlineStr">
        <is>
          <t>FEMX</t>
        </is>
      </c>
      <c r="C765" t="inlineStr">
        <is>
          <t>Fidelity Global Emerging Markets Active ETF</t>
        </is>
      </c>
      <c r="D765" t="inlineStr">
        <is>
          <t>AUD</t>
        </is>
      </c>
      <c r="E765" t="inlineStr">
        <is>
          <t>ASX</t>
        </is>
      </c>
    </row>
    <row r="766">
      <c r="B766" t="inlineStr">
        <is>
          <t>GRNV</t>
        </is>
      </c>
      <c r="C766" t="inlineStr">
        <is>
          <t>Vaneck MSCI Australian Sustainable Equity ETF</t>
        </is>
      </c>
      <c r="D766" t="inlineStr">
        <is>
          <t>AUD</t>
        </is>
      </c>
      <c r="E766" t="inlineStr">
        <is>
          <t>ASX</t>
        </is>
      </c>
    </row>
    <row r="767">
      <c r="B767" t="inlineStr">
        <is>
          <t>FWD</t>
        </is>
      </c>
      <c r="C767" t="inlineStr">
        <is>
          <t>Fleetwood Ltd</t>
        </is>
      </c>
      <c r="D767" t="inlineStr">
        <is>
          <t>AUD</t>
        </is>
      </c>
      <c r="E767" t="inlineStr">
        <is>
          <t>ASX</t>
        </is>
      </c>
    </row>
    <row r="768">
      <c r="B768" t="inlineStr">
        <is>
          <t>TZN</t>
        </is>
      </c>
      <c r="C768" t="inlineStr">
        <is>
          <t>Terramin Australia Ltd</t>
        </is>
      </c>
      <c r="D768" t="inlineStr">
        <is>
          <t>AUD</t>
        </is>
      </c>
      <c r="E768" t="inlineStr">
        <is>
          <t>ASX</t>
        </is>
      </c>
    </row>
    <row r="769">
      <c r="B769" t="inlineStr">
        <is>
          <t>WDMF</t>
        </is>
      </c>
      <c r="C769" t="inlineStr">
        <is>
          <t>Ishares World Equity Factor ETF</t>
        </is>
      </c>
      <c r="D769" t="inlineStr">
        <is>
          <t>AUD</t>
        </is>
      </c>
      <c r="E769" t="inlineStr">
        <is>
          <t>ASX</t>
        </is>
      </c>
    </row>
    <row r="770">
      <c r="B770" t="inlineStr">
        <is>
          <t>GXLD</t>
        </is>
      </c>
      <c r="C770" t="inlineStr">
        <is>
          <t>Global X Gold Bullion ETF</t>
        </is>
      </c>
      <c r="D770" t="inlineStr">
        <is>
          <t>AUD</t>
        </is>
      </c>
      <c r="E770" t="inlineStr">
        <is>
          <t>ASX</t>
        </is>
      </c>
    </row>
    <row r="771">
      <c r="B771" t="inlineStr">
        <is>
          <t>NDO</t>
        </is>
      </c>
      <c r="C771" t="inlineStr">
        <is>
          <t>Nido Education Ltd</t>
        </is>
      </c>
      <c r="D771" t="inlineStr">
        <is>
          <t>AUD</t>
        </is>
      </c>
      <c r="E771" t="inlineStr">
        <is>
          <t>ASX</t>
        </is>
      </c>
    </row>
    <row r="772">
      <c r="B772" t="inlineStr">
        <is>
          <t>OZR</t>
        </is>
      </c>
      <c r="C772" t="inlineStr">
        <is>
          <t>SPDR S&amp;P/ASX 200 Resources Fund</t>
        </is>
      </c>
      <c r="D772" t="inlineStr">
        <is>
          <t>AUD</t>
        </is>
      </c>
      <c r="E772" t="inlineStr">
        <is>
          <t>ASX</t>
        </is>
      </c>
    </row>
    <row r="773">
      <c r="B773" t="inlineStr">
        <is>
          <t>BIS</t>
        </is>
      </c>
      <c r="C773" t="inlineStr">
        <is>
          <t>Bisalloy Steel Group Ltd</t>
        </is>
      </c>
      <c r="D773" t="inlineStr">
        <is>
          <t>AUD</t>
        </is>
      </c>
      <c r="E773" t="inlineStr">
        <is>
          <t>ASX</t>
        </is>
      </c>
    </row>
    <row r="774">
      <c r="B774" t="inlineStr">
        <is>
          <t>POL</t>
        </is>
      </c>
      <c r="C774" t="inlineStr">
        <is>
          <t>Polymetals Resources Ltd</t>
        </is>
      </c>
      <c r="D774" t="inlineStr">
        <is>
          <t>AUD</t>
        </is>
      </c>
      <c r="E774" t="inlineStr">
        <is>
          <t>ASX</t>
        </is>
      </c>
    </row>
    <row r="775">
      <c r="B775" t="inlineStr">
        <is>
          <t>MMKT</t>
        </is>
      </c>
      <c r="C775" t="inlineStr">
        <is>
          <t>Betashares Aust. Cash Plus Fund (Managed Fund)</t>
        </is>
      </c>
      <c r="D775" t="inlineStr">
        <is>
          <t>AUD</t>
        </is>
      </c>
      <c r="E775" t="inlineStr">
        <is>
          <t>ASX</t>
        </is>
      </c>
    </row>
    <row r="776">
      <c r="B776" t="inlineStr">
        <is>
          <t>SSG</t>
        </is>
      </c>
      <c r="C776" t="inlineStr">
        <is>
          <t>Shaver Shop Group Ltd</t>
        </is>
      </c>
      <c r="D776" t="inlineStr">
        <is>
          <t>AUD</t>
        </is>
      </c>
      <c r="E776" t="inlineStr">
        <is>
          <t>ASX</t>
        </is>
      </c>
    </row>
    <row r="777">
      <c r="B777" t="inlineStr">
        <is>
          <t>AIM</t>
        </is>
      </c>
      <c r="C777" t="inlineStr">
        <is>
          <t>Ai-Media Technologies Ltd</t>
        </is>
      </c>
      <c r="D777" t="inlineStr">
        <is>
          <t>AUD</t>
        </is>
      </c>
      <c r="E777" t="inlineStr">
        <is>
          <t>ASX</t>
        </is>
      </c>
    </row>
    <row r="778">
      <c r="B778" t="inlineStr">
        <is>
          <t>IMB</t>
        </is>
      </c>
      <c r="C778" t="inlineStr">
        <is>
          <t>Intelligent Monitoring Group Ltd</t>
        </is>
      </c>
      <c r="D778" t="inlineStr">
        <is>
          <t>AUD</t>
        </is>
      </c>
      <c r="E778" t="inlineStr">
        <is>
          <t>ASX</t>
        </is>
      </c>
    </row>
    <row r="779">
      <c r="B779" t="inlineStr">
        <is>
          <t>STK</t>
        </is>
      </c>
      <c r="C779" t="inlineStr">
        <is>
          <t>Strickland Metals Ltd</t>
        </is>
      </c>
      <c r="D779" t="inlineStr">
        <is>
          <t>AUD</t>
        </is>
      </c>
      <c r="E779" t="inlineStr">
        <is>
          <t>ASX</t>
        </is>
      </c>
    </row>
    <row r="780">
      <c r="B780" t="inlineStr">
        <is>
          <t>MME</t>
        </is>
      </c>
      <c r="C780" t="inlineStr">
        <is>
          <t>Moneyme Ltd</t>
        </is>
      </c>
      <c r="D780" t="inlineStr">
        <is>
          <t>AUD</t>
        </is>
      </c>
      <c r="E780" t="inlineStr">
        <is>
          <t>ASX</t>
        </is>
      </c>
    </row>
    <row r="781">
      <c r="B781" t="inlineStr">
        <is>
          <t>PCX</t>
        </is>
      </c>
      <c r="C781" t="inlineStr">
        <is>
          <t>Pengana Global Private Credit Trust</t>
        </is>
      </c>
      <c r="D781" t="inlineStr">
        <is>
          <t>AUD</t>
        </is>
      </c>
      <c r="E781" t="inlineStr">
        <is>
          <t>ASX</t>
        </is>
      </c>
    </row>
    <row r="782">
      <c r="B782" t="inlineStr">
        <is>
          <t>EBND</t>
        </is>
      </c>
      <c r="C782" t="inlineStr">
        <is>
          <t>Vaneck Emerging Inc Opportunities Active ETF (Managed Fund)</t>
        </is>
      </c>
      <c r="D782" t="inlineStr">
        <is>
          <t>AUD</t>
        </is>
      </c>
      <c r="E782" t="inlineStr">
        <is>
          <t>ASX</t>
        </is>
      </c>
    </row>
    <row r="783">
      <c r="B783" t="inlineStr">
        <is>
          <t>BWN</t>
        </is>
      </c>
      <c r="C783" t="inlineStr">
        <is>
          <t>Bhagwan Marine Ltd</t>
        </is>
      </c>
      <c r="D783" t="inlineStr">
        <is>
          <t>AUD</t>
        </is>
      </c>
      <c r="E783" t="inlineStr">
        <is>
          <t>ASX</t>
        </is>
      </c>
    </row>
    <row r="784">
      <c r="B784" t="inlineStr">
        <is>
          <t>CAA</t>
        </is>
      </c>
      <c r="C784" t="inlineStr">
        <is>
          <t>Capral Ltd</t>
        </is>
      </c>
      <c r="D784" t="inlineStr">
        <is>
          <t>AUD</t>
        </is>
      </c>
      <c r="E784" t="inlineStr">
        <is>
          <t>ASX</t>
        </is>
      </c>
    </row>
    <row r="785">
      <c r="B785" t="inlineStr">
        <is>
          <t>COS</t>
        </is>
      </c>
      <c r="C785" t="inlineStr">
        <is>
          <t>Cosol Ltd</t>
        </is>
      </c>
      <c r="D785" t="inlineStr">
        <is>
          <t>AUD</t>
        </is>
      </c>
      <c r="E785" t="inlineStr">
        <is>
          <t>ASX</t>
        </is>
      </c>
    </row>
    <row r="786">
      <c r="B786" t="inlineStr">
        <is>
          <t>A11</t>
        </is>
      </c>
      <c r="C786" t="inlineStr">
        <is>
          <t>Atlantic Lithium Ltd</t>
        </is>
      </c>
      <c r="D786" t="inlineStr">
        <is>
          <t>AUD</t>
        </is>
      </c>
      <c r="E786" t="inlineStr">
        <is>
          <t>ASX</t>
        </is>
      </c>
    </row>
    <row r="787">
      <c r="B787" t="inlineStr">
        <is>
          <t>SLH</t>
        </is>
      </c>
      <c r="C787" t="inlineStr">
        <is>
          <t>Silk Logistics Holdings Ltd</t>
        </is>
      </c>
      <c r="D787" t="inlineStr">
        <is>
          <t>AUD</t>
        </is>
      </c>
      <c r="E787" t="inlineStr">
        <is>
          <t>ASX</t>
        </is>
      </c>
    </row>
    <row r="788">
      <c r="B788" t="inlineStr">
        <is>
          <t>VCF</t>
        </is>
      </c>
      <c r="C788" t="inlineStr">
        <is>
          <t>Vanguard International Credit Securities INDEX (Hedged) ETF</t>
        </is>
      </c>
      <c r="D788" t="inlineStr">
        <is>
          <t>AUD</t>
        </is>
      </c>
      <c r="E788" t="inlineStr">
        <is>
          <t>ASX</t>
        </is>
      </c>
    </row>
    <row r="789">
      <c r="B789" t="inlineStr">
        <is>
          <t>BTH</t>
        </is>
      </c>
      <c r="C789" t="inlineStr">
        <is>
          <t>Bigtincan Holdings Ltd</t>
        </is>
      </c>
      <c r="D789" t="inlineStr">
        <is>
          <t>AUD</t>
        </is>
      </c>
      <c r="E789" t="inlineStr">
        <is>
          <t>ASX</t>
        </is>
      </c>
    </row>
    <row r="790">
      <c r="B790" t="inlineStr">
        <is>
          <t>FSML</t>
        </is>
      </c>
      <c r="C790" t="inlineStr">
        <is>
          <t>Firetrail Aust Small Companies Fund - Active ETF</t>
        </is>
      </c>
      <c r="D790" t="inlineStr">
        <is>
          <t>AUD</t>
        </is>
      </c>
      <c r="E790" t="inlineStr">
        <is>
          <t>ASX</t>
        </is>
      </c>
    </row>
    <row r="791">
      <c r="B791" t="inlineStr">
        <is>
          <t>COI</t>
        </is>
      </c>
      <c r="C791" t="inlineStr">
        <is>
          <t>Comet Ridge Ltd</t>
        </is>
      </c>
      <c r="D791" t="inlineStr">
        <is>
          <t>AUD</t>
        </is>
      </c>
      <c r="E791" t="inlineStr">
        <is>
          <t>ASX</t>
        </is>
      </c>
    </row>
    <row r="792">
      <c r="B792" t="inlineStr">
        <is>
          <t>MVS</t>
        </is>
      </c>
      <c r="C792" t="inlineStr">
        <is>
          <t>Vaneck Small Companies Masters ETF</t>
        </is>
      </c>
      <c r="D792" t="inlineStr">
        <is>
          <t>AUD</t>
        </is>
      </c>
      <c r="E792" t="inlineStr">
        <is>
          <t>ASX</t>
        </is>
      </c>
    </row>
    <row r="793">
      <c r="B793" t="inlineStr">
        <is>
          <t>NTU</t>
        </is>
      </c>
      <c r="C793" t="inlineStr">
        <is>
          <t>Northern Minerals Ltd</t>
        </is>
      </c>
      <c r="D793" t="inlineStr">
        <is>
          <t>AUD</t>
        </is>
      </c>
      <c r="E793" t="inlineStr">
        <is>
          <t>ASX</t>
        </is>
      </c>
    </row>
    <row r="794">
      <c r="B794" t="inlineStr">
        <is>
          <t>SPG</t>
        </is>
      </c>
      <c r="C794" t="inlineStr">
        <is>
          <t>SPC Global Holdings Ltd</t>
        </is>
      </c>
      <c r="D794" t="inlineStr">
        <is>
          <t>AUD</t>
        </is>
      </c>
      <c r="E794" t="inlineStr">
        <is>
          <t>ASX</t>
        </is>
      </c>
    </row>
    <row r="795">
      <c r="B795" t="inlineStr">
        <is>
          <t>URNM</t>
        </is>
      </c>
      <c r="C795" t="inlineStr">
        <is>
          <t>Betashares Global Uranium ETF</t>
        </is>
      </c>
      <c r="D795" t="inlineStr">
        <is>
          <t>AUD</t>
        </is>
      </c>
      <c r="E795" t="inlineStr">
        <is>
          <t>ASX</t>
        </is>
      </c>
    </row>
    <row r="796">
      <c r="B796" t="inlineStr">
        <is>
          <t>RHK</t>
        </is>
      </c>
      <c r="C796" t="inlineStr">
        <is>
          <t>Red Hawk Mining Ltd</t>
        </is>
      </c>
      <c r="D796" t="inlineStr">
        <is>
          <t>AUD</t>
        </is>
      </c>
      <c r="E796" t="inlineStr">
        <is>
          <t>ASX</t>
        </is>
      </c>
    </row>
    <row r="797">
      <c r="B797" t="inlineStr">
        <is>
          <t>HPG</t>
        </is>
      </c>
      <c r="C797" t="inlineStr">
        <is>
          <t>Hipages Group Holdings Ltd</t>
        </is>
      </c>
      <c r="D797" t="inlineStr">
        <is>
          <t>AUD</t>
        </is>
      </c>
      <c r="E797" t="inlineStr">
        <is>
          <t>ASX</t>
        </is>
      </c>
    </row>
    <row r="798">
      <c r="B798" t="inlineStr">
        <is>
          <t>EMV</t>
        </is>
      </c>
      <c r="C798" t="inlineStr">
        <is>
          <t>Emvision Medical Devices Ltd</t>
        </is>
      </c>
      <c r="D798" t="inlineStr">
        <is>
          <t>AUD</t>
        </is>
      </c>
      <c r="E798" t="inlineStr">
        <is>
          <t>ASX</t>
        </is>
      </c>
    </row>
    <row r="799">
      <c r="B799" t="inlineStr">
        <is>
          <t>ASL</t>
        </is>
      </c>
      <c r="C799" t="inlineStr">
        <is>
          <t>Andean Silver Ltd</t>
        </is>
      </c>
      <c r="D799" t="inlineStr">
        <is>
          <t>AUD</t>
        </is>
      </c>
      <c r="E799" t="inlineStr">
        <is>
          <t>ASX</t>
        </is>
      </c>
    </row>
    <row r="800">
      <c r="B800" t="inlineStr">
        <is>
          <t>CCV</t>
        </is>
      </c>
      <c r="C800" t="inlineStr">
        <is>
          <t>Cash Converters International</t>
        </is>
      </c>
      <c r="D800" t="inlineStr">
        <is>
          <t>AUD</t>
        </is>
      </c>
      <c r="E800" t="inlineStr">
        <is>
          <t>ASX</t>
        </is>
      </c>
    </row>
    <row r="801">
      <c r="B801" t="inlineStr">
        <is>
          <t>FUEL</t>
        </is>
      </c>
      <c r="C801" t="inlineStr">
        <is>
          <t>Betashares Global Energy Comp Currency Hedged ETF</t>
        </is>
      </c>
      <c r="D801" t="inlineStr">
        <is>
          <t>AUD</t>
        </is>
      </c>
      <c r="E801" t="inlineStr">
        <is>
          <t>ASX</t>
        </is>
      </c>
    </row>
    <row r="802">
      <c r="B802" t="inlineStr">
        <is>
          <t>BCK</t>
        </is>
      </c>
      <c r="C802" t="inlineStr">
        <is>
          <t>Brockman Mining Ltd</t>
        </is>
      </c>
      <c r="D802" t="inlineStr">
        <is>
          <t>AUD</t>
        </is>
      </c>
      <c r="E802" t="inlineStr">
        <is>
          <t>ASX</t>
        </is>
      </c>
    </row>
    <row r="803">
      <c r="B803" t="inlineStr">
        <is>
          <t>AUC</t>
        </is>
      </c>
      <c r="C803" t="inlineStr">
        <is>
          <t>Ausgold Ltd</t>
        </is>
      </c>
      <c r="D803" t="inlineStr">
        <is>
          <t>AUD</t>
        </is>
      </c>
      <c r="E803" t="inlineStr">
        <is>
          <t>ASX</t>
        </is>
      </c>
    </row>
    <row r="804">
      <c r="B804" t="inlineStr">
        <is>
          <t>EZL</t>
        </is>
      </c>
      <c r="C804" t="inlineStr">
        <is>
          <t>EUROZ Hartleys Group Ltd</t>
        </is>
      </c>
      <c r="D804" t="inlineStr">
        <is>
          <t>AUD</t>
        </is>
      </c>
      <c r="E804" t="inlineStr">
        <is>
          <t>ASX</t>
        </is>
      </c>
    </row>
    <row r="805">
      <c r="B805" t="inlineStr">
        <is>
          <t>AIS</t>
        </is>
      </c>
      <c r="C805" t="inlineStr">
        <is>
          <t>Aeris Resources Ltd</t>
        </is>
      </c>
      <c r="D805" t="inlineStr">
        <is>
          <t>AUD</t>
        </is>
      </c>
      <c r="E805" t="inlineStr">
        <is>
          <t>ASX</t>
        </is>
      </c>
    </row>
    <row r="806">
      <c r="B806" t="inlineStr">
        <is>
          <t>CRD</t>
        </is>
      </c>
      <c r="C806" t="inlineStr">
        <is>
          <t>Conrad Asia Energy Ltd</t>
        </is>
      </c>
      <c r="D806" t="inlineStr">
        <is>
          <t>AUD</t>
        </is>
      </c>
      <c r="E806" t="inlineStr">
        <is>
          <t>ASX</t>
        </is>
      </c>
    </row>
    <row r="807">
      <c r="B807" t="inlineStr">
        <is>
          <t>LV1</t>
        </is>
      </c>
      <c r="C807" t="inlineStr">
        <is>
          <t>Live Verdure Ltd</t>
        </is>
      </c>
      <c r="D807" t="inlineStr">
        <is>
          <t>AUD</t>
        </is>
      </c>
      <c r="E807" t="inlineStr">
        <is>
          <t>ASX</t>
        </is>
      </c>
    </row>
    <row r="808">
      <c r="B808" t="inlineStr">
        <is>
          <t>QGL</t>
        </is>
      </c>
      <c r="C808" t="inlineStr">
        <is>
          <t>Quantum Graphite Ltd</t>
        </is>
      </c>
      <c r="D808" t="inlineStr">
        <is>
          <t>AUD</t>
        </is>
      </c>
      <c r="E808" t="inlineStr">
        <is>
          <t>ASX</t>
        </is>
      </c>
    </row>
    <row r="809">
      <c r="B809" t="inlineStr">
        <is>
          <t>BKY</t>
        </is>
      </c>
      <c r="C809" t="inlineStr">
        <is>
          <t>Berkeley Energia Ltd</t>
        </is>
      </c>
      <c r="D809" t="inlineStr">
        <is>
          <t>AUD</t>
        </is>
      </c>
      <c r="E809" t="inlineStr">
        <is>
          <t>ASX</t>
        </is>
      </c>
    </row>
    <row r="810">
      <c r="B810" t="inlineStr">
        <is>
          <t>PLY</t>
        </is>
      </c>
      <c r="C810" t="inlineStr">
        <is>
          <t>Playside Studios Ltd</t>
        </is>
      </c>
      <c r="D810" t="inlineStr">
        <is>
          <t>AUD</t>
        </is>
      </c>
      <c r="E810" t="inlineStr">
        <is>
          <t>ASX</t>
        </is>
      </c>
    </row>
    <row r="811">
      <c r="B811" t="inlineStr">
        <is>
          <t>DGL</t>
        </is>
      </c>
      <c r="C811" t="inlineStr">
        <is>
          <t>DGL Group Ltd</t>
        </is>
      </c>
      <c r="D811" t="inlineStr">
        <is>
          <t>AUD</t>
        </is>
      </c>
      <c r="E811" t="inlineStr">
        <is>
          <t>ASX</t>
        </is>
      </c>
    </row>
    <row r="812">
      <c r="B812" t="inlineStr">
        <is>
          <t>HJPN</t>
        </is>
      </c>
      <c r="C812" t="inlineStr">
        <is>
          <t>Betashares Japan Currency Hedged ETF</t>
        </is>
      </c>
      <c r="D812" t="inlineStr">
        <is>
          <t>AUD</t>
        </is>
      </c>
      <c r="E812" t="inlineStr">
        <is>
          <t>ASX</t>
        </is>
      </c>
    </row>
    <row r="813">
      <c r="B813" t="inlineStr">
        <is>
          <t>CLX</t>
        </is>
      </c>
      <c r="C813" t="inlineStr">
        <is>
          <t>Cti Logistics Ltd</t>
        </is>
      </c>
      <c r="D813" t="inlineStr">
        <is>
          <t>AUD</t>
        </is>
      </c>
      <c r="E813" t="inlineStr">
        <is>
          <t>ASX</t>
        </is>
      </c>
    </row>
    <row r="814">
      <c r="B814" t="inlineStr">
        <is>
          <t>TER</t>
        </is>
      </c>
      <c r="C814" t="inlineStr">
        <is>
          <t>Terracom Ltd</t>
        </is>
      </c>
      <c r="D814" t="inlineStr">
        <is>
          <t>AUD</t>
        </is>
      </c>
      <c r="E814" t="inlineStr">
        <is>
          <t>ASX</t>
        </is>
      </c>
    </row>
    <row r="815">
      <c r="B815" t="inlineStr">
        <is>
          <t>AGE</t>
        </is>
      </c>
      <c r="C815" t="inlineStr">
        <is>
          <t>Alligator Energy Ltd</t>
        </is>
      </c>
      <c r="D815" t="inlineStr">
        <is>
          <t>AUD</t>
        </is>
      </c>
      <c r="E815" t="inlineStr">
        <is>
          <t>ASX</t>
        </is>
      </c>
    </row>
    <row r="816">
      <c r="B816" t="inlineStr">
        <is>
          <t>EIQ</t>
        </is>
      </c>
      <c r="C816" t="inlineStr">
        <is>
          <t>Echoiq Ltd</t>
        </is>
      </c>
      <c r="D816" t="inlineStr">
        <is>
          <t>AUD</t>
        </is>
      </c>
      <c r="E816" t="inlineStr">
        <is>
          <t>ASX</t>
        </is>
      </c>
    </row>
    <row r="817">
      <c r="B817" t="inlineStr">
        <is>
          <t>ACE</t>
        </is>
      </c>
      <c r="C817" t="inlineStr">
        <is>
          <t>Acusensus Ltd</t>
        </is>
      </c>
      <c r="D817" t="inlineStr">
        <is>
          <t>AUD</t>
        </is>
      </c>
      <c r="E817" t="inlineStr">
        <is>
          <t>ASX</t>
        </is>
      </c>
    </row>
    <row r="818">
      <c r="B818" t="inlineStr">
        <is>
          <t>BSUB</t>
        </is>
      </c>
      <c r="C818" t="inlineStr">
        <is>
          <t>Betashares Aus Major Bank Subordinated Debt ETF</t>
        </is>
      </c>
      <c r="D818" t="inlineStr">
        <is>
          <t>AUD</t>
        </is>
      </c>
      <c r="E818" t="inlineStr">
        <is>
          <t>ASX</t>
        </is>
      </c>
    </row>
    <row r="819">
      <c r="B819" t="inlineStr">
        <is>
          <t>BOC</t>
        </is>
      </c>
      <c r="C819" t="inlineStr">
        <is>
          <t>Bougainville Copper Ltd</t>
        </is>
      </c>
      <c r="D819" t="inlineStr">
        <is>
          <t>AUD</t>
        </is>
      </c>
      <c r="E819" t="inlineStr">
        <is>
          <t>ASX</t>
        </is>
      </c>
    </row>
    <row r="820">
      <c r="B820" t="inlineStr">
        <is>
          <t>ISO</t>
        </is>
      </c>
      <c r="C820" t="inlineStr">
        <is>
          <t>Ishares S&amp;P/ASX Small Ordinaries ETF</t>
        </is>
      </c>
      <c r="D820" t="inlineStr">
        <is>
          <t>AUD</t>
        </is>
      </c>
      <c r="E820" t="inlineStr">
        <is>
          <t>ASX</t>
        </is>
      </c>
    </row>
    <row r="821">
      <c r="B821" t="inlineStr">
        <is>
          <t>BRL</t>
        </is>
      </c>
      <c r="C821" t="inlineStr">
        <is>
          <t>Bathurst Resources Ltd</t>
        </is>
      </c>
      <c r="D821" t="inlineStr">
        <is>
          <t>AUD</t>
        </is>
      </c>
      <c r="E821" t="inlineStr">
        <is>
          <t>ASX</t>
        </is>
      </c>
    </row>
    <row r="822">
      <c r="B822" t="inlineStr">
        <is>
          <t>RNU</t>
        </is>
      </c>
      <c r="C822" t="inlineStr">
        <is>
          <t>Renascor Resources Ltd</t>
        </is>
      </c>
      <c r="D822" t="inlineStr">
        <is>
          <t>AUD</t>
        </is>
      </c>
      <c r="E822" t="inlineStr">
        <is>
          <t>ASX</t>
        </is>
      </c>
    </row>
    <row r="823">
      <c r="B823" t="inlineStr">
        <is>
          <t>NOL</t>
        </is>
      </c>
      <c r="C823" t="inlineStr">
        <is>
          <t>Nobleoak Life Ltd</t>
        </is>
      </c>
      <c r="D823" t="inlineStr">
        <is>
          <t>AUD</t>
        </is>
      </c>
      <c r="E823" t="inlineStr">
        <is>
          <t>ASX</t>
        </is>
      </c>
    </row>
    <row r="824">
      <c r="B824" t="inlineStr">
        <is>
          <t>VVA</t>
        </is>
      </c>
      <c r="C824" t="inlineStr">
        <is>
          <t>Viva Leisure Ltd</t>
        </is>
      </c>
      <c r="D824" t="inlineStr">
        <is>
          <t>AUD</t>
        </is>
      </c>
      <c r="E824" t="inlineStr">
        <is>
          <t>ASX</t>
        </is>
      </c>
    </row>
    <row r="825">
      <c r="B825" t="inlineStr">
        <is>
          <t>PRG</t>
        </is>
      </c>
      <c r="C825" t="inlineStr">
        <is>
          <t>PRL Global Ltd</t>
        </is>
      </c>
      <c r="D825" t="inlineStr">
        <is>
          <t>AUD</t>
        </is>
      </c>
      <c r="E825" t="inlineStr">
        <is>
          <t>ASX</t>
        </is>
      </c>
    </row>
    <row r="826">
      <c r="B826" t="inlineStr">
        <is>
          <t>TRJ</t>
        </is>
      </c>
      <c r="C826" t="inlineStr">
        <is>
          <t>Trajan Group Holdings Ltd</t>
        </is>
      </c>
      <c r="D826" t="inlineStr">
        <is>
          <t>AUD</t>
        </is>
      </c>
      <c r="E826" t="inlineStr">
        <is>
          <t>ASX</t>
        </is>
      </c>
    </row>
    <row r="827">
      <c r="B827" t="inlineStr">
        <is>
          <t>SXL</t>
        </is>
      </c>
      <c r="C827" t="inlineStr">
        <is>
          <t>Southern Cross Media Group Ltd</t>
        </is>
      </c>
      <c r="D827" t="inlineStr">
        <is>
          <t>AUD</t>
        </is>
      </c>
      <c r="E827" t="inlineStr">
        <is>
          <t>ASX</t>
        </is>
      </c>
    </row>
    <row r="828">
      <c r="B828" t="inlineStr">
        <is>
          <t>LFSPA</t>
        </is>
      </c>
      <c r="C828" t="inlineStr">
        <is>
          <t>Latitude Group Holdings Ltd</t>
        </is>
      </c>
      <c r="D828" t="inlineStr">
        <is>
          <t>AUD</t>
        </is>
      </c>
      <c r="E828" t="inlineStr">
        <is>
          <t>ASX</t>
        </is>
      </c>
    </row>
    <row r="829">
      <c r="B829" t="inlineStr">
        <is>
          <t>SOM</t>
        </is>
      </c>
      <c r="C829" t="inlineStr">
        <is>
          <t>Somnomed Ltd</t>
        </is>
      </c>
      <c r="D829" t="inlineStr">
        <is>
          <t>AUD</t>
        </is>
      </c>
      <c r="E829" t="inlineStr">
        <is>
          <t>ASX</t>
        </is>
      </c>
    </row>
    <row r="830">
      <c r="B830" t="inlineStr">
        <is>
          <t>OIL</t>
        </is>
      </c>
      <c r="C830" t="inlineStr">
        <is>
          <t>Optiscan Imaging Ltd</t>
        </is>
      </c>
      <c r="D830" t="inlineStr">
        <is>
          <t>AUD</t>
        </is>
      </c>
      <c r="E830" t="inlineStr">
        <is>
          <t>ASX</t>
        </is>
      </c>
    </row>
    <row r="831">
      <c r="B831" t="inlineStr">
        <is>
          <t>CXL</t>
        </is>
      </c>
      <c r="C831" t="inlineStr">
        <is>
          <t>CALIX Ltd</t>
        </is>
      </c>
      <c r="D831" t="inlineStr">
        <is>
          <t>AUD</t>
        </is>
      </c>
      <c r="E831" t="inlineStr">
        <is>
          <t>ASX</t>
        </is>
      </c>
    </row>
    <row r="832">
      <c r="B832" t="inlineStr">
        <is>
          <t>SEC</t>
        </is>
      </c>
      <c r="C832" t="inlineStr">
        <is>
          <t>Spheria Emerging Companies Ltd</t>
        </is>
      </c>
      <c r="D832" t="inlineStr">
        <is>
          <t>AUD</t>
        </is>
      </c>
      <c r="E832" t="inlineStr">
        <is>
          <t>ASX</t>
        </is>
      </c>
    </row>
    <row r="833">
      <c r="B833" t="inlineStr">
        <is>
          <t>IXI</t>
        </is>
      </c>
      <c r="C833" t="inlineStr">
        <is>
          <t>Ishares Global Consumer Staples ETF</t>
        </is>
      </c>
      <c r="D833" t="inlineStr">
        <is>
          <t>AUD</t>
        </is>
      </c>
      <c r="E833" t="inlineStr">
        <is>
          <t>ASX</t>
        </is>
      </c>
    </row>
    <row r="834">
      <c r="B834" t="inlineStr">
        <is>
          <t>GSS</t>
        </is>
      </c>
      <c r="C834" t="inlineStr">
        <is>
          <t>Genetic Signatures Ltd</t>
        </is>
      </c>
      <c r="D834" t="inlineStr">
        <is>
          <t>AUD</t>
        </is>
      </c>
      <c r="E834" t="inlineStr">
        <is>
          <t>ASX</t>
        </is>
      </c>
    </row>
    <row r="835">
      <c r="B835" t="inlineStr">
        <is>
          <t>EVO</t>
        </is>
      </c>
      <c r="C835" t="inlineStr">
        <is>
          <t>Embark Early Education Ltd</t>
        </is>
      </c>
      <c r="D835" t="inlineStr">
        <is>
          <t>AUD</t>
        </is>
      </c>
      <c r="E835" t="inlineStr">
        <is>
          <t>ASX</t>
        </is>
      </c>
    </row>
    <row r="836">
      <c r="B836" t="inlineStr">
        <is>
          <t>ARR</t>
        </is>
      </c>
      <c r="C836" t="inlineStr">
        <is>
          <t>American Rare EARTHS Ltd</t>
        </is>
      </c>
      <c r="D836" t="inlineStr">
        <is>
          <t>AUD</t>
        </is>
      </c>
      <c r="E836" t="inlineStr">
        <is>
          <t>ASX</t>
        </is>
      </c>
    </row>
    <row r="837">
      <c r="B837" t="inlineStr">
        <is>
          <t>STA</t>
        </is>
      </c>
      <c r="C837" t="inlineStr">
        <is>
          <t>Strandline Resources Ltd</t>
        </is>
      </c>
      <c r="D837" t="inlineStr">
        <is>
          <t>AUD</t>
        </is>
      </c>
      <c r="E837" t="inlineStr">
        <is>
          <t>ASX</t>
        </is>
      </c>
    </row>
    <row r="838">
      <c r="B838" t="inlineStr">
        <is>
          <t>MCA</t>
        </is>
      </c>
      <c r="C838" t="inlineStr">
        <is>
          <t>Murray Cod Australia Ltd</t>
        </is>
      </c>
      <c r="D838" t="inlineStr">
        <is>
          <t>AUD</t>
        </is>
      </c>
      <c r="E838" t="inlineStr">
        <is>
          <t>ASX</t>
        </is>
      </c>
    </row>
    <row r="839">
      <c r="B839" t="inlineStr">
        <is>
          <t>LNYN</t>
        </is>
      </c>
      <c r="C839" t="inlineStr">
        <is>
          <t>Lanyon Investment Fund Active ETF</t>
        </is>
      </c>
      <c r="D839" t="inlineStr">
        <is>
          <t>AUD</t>
        </is>
      </c>
      <c r="E839" t="inlineStr">
        <is>
          <t>ASX</t>
        </is>
      </c>
    </row>
    <row r="840">
      <c r="B840" t="inlineStr">
        <is>
          <t>GLB</t>
        </is>
      </c>
      <c r="C840" t="inlineStr">
        <is>
          <t>Globe International Ltd</t>
        </is>
      </c>
      <c r="D840" t="inlineStr">
        <is>
          <t>AUD</t>
        </is>
      </c>
      <c r="E840" t="inlineStr">
        <is>
          <t>ASX</t>
        </is>
      </c>
    </row>
    <row r="841">
      <c r="B841" t="inlineStr">
        <is>
          <t>CYG</t>
        </is>
      </c>
      <c r="C841" t="inlineStr">
        <is>
          <t>Coventry Group Ltd</t>
        </is>
      </c>
      <c r="D841" t="inlineStr">
        <is>
          <t>AUD</t>
        </is>
      </c>
      <c r="E841" t="inlineStr">
        <is>
          <t>ASX</t>
        </is>
      </c>
    </row>
    <row r="842">
      <c r="B842" t="inlineStr">
        <is>
          <t>HNG</t>
        </is>
      </c>
      <c r="C842" t="inlineStr">
        <is>
          <t>Hancock &amp; Gore Ltd</t>
        </is>
      </c>
      <c r="D842" t="inlineStr">
        <is>
          <t>AUD</t>
        </is>
      </c>
      <c r="E842" t="inlineStr">
        <is>
          <t>ASX</t>
        </is>
      </c>
    </row>
    <row r="843">
      <c r="B843" t="inlineStr">
        <is>
          <t>TGM</t>
        </is>
      </c>
      <c r="C843" t="inlineStr">
        <is>
          <t>Theta Gold Mines Ltd</t>
        </is>
      </c>
      <c r="D843" t="inlineStr">
        <is>
          <t>AUD</t>
        </is>
      </c>
      <c r="E843" t="inlineStr">
        <is>
          <t>ASX</t>
        </is>
      </c>
    </row>
    <row r="844">
      <c r="B844" t="inlineStr">
        <is>
          <t>CCR</t>
        </is>
      </c>
      <c r="C844" t="inlineStr">
        <is>
          <t>Credit Clear Ltd</t>
        </is>
      </c>
      <c r="D844" t="inlineStr">
        <is>
          <t>AUD</t>
        </is>
      </c>
      <c r="E844" t="inlineStr">
        <is>
          <t>ASX</t>
        </is>
      </c>
    </row>
    <row r="845">
      <c r="B845" t="inlineStr">
        <is>
          <t>RFG</t>
        </is>
      </c>
      <c r="C845" t="inlineStr">
        <is>
          <t>Retail Food Group Ltd</t>
        </is>
      </c>
      <c r="D845" t="inlineStr">
        <is>
          <t>AUD</t>
        </is>
      </c>
      <c r="E845" t="inlineStr">
        <is>
          <t>ASX</t>
        </is>
      </c>
    </row>
    <row r="846">
      <c r="B846" t="inlineStr">
        <is>
          <t>SHJ</t>
        </is>
      </c>
      <c r="C846" t="inlineStr">
        <is>
          <t>Shine Justice Ltd</t>
        </is>
      </c>
      <c r="D846" t="inlineStr">
        <is>
          <t>AUD</t>
        </is>
      </c>
      <c r="E846" t="inlineStr">
        <is>
          <t>ASX</t>
        </is>
      </c>
    </row>
    <row r="847">
      <c r="B847" t="inlineStr">
        <is>
          <t>ENR</t>
        </is>
      </c>
      <c r="C847" t="inlineStr">
        <is>
          <t>Encounter Resources Ltd</t>
        </is>
      </c>
      <c r="D847" t="inlineStr">
        <is>
          <t>AUD</t>
        </is>
      </c>
      <c r="E847" t="inlineStr">
        <is>
          <t>ASX</t>
        </is>
      </c>
    </row>
    <row r="848">
      <c r="B848" t="inlineStr">
        <is>
          <t>MAP</t>
        </is>
      </c>
      <c r="C848" t="inlineStr">
        <is>
          <t>Microba Life Sciences Ltd</t>
        </is>
      </c>
      <c r="D848" t="inlineStr">
        <is>
          <t>AUD</t>
        </is>
      </c>
      <c r="E848" t="inlineStr">
        <is>
          <t>ASX</t>
        </is>
      </c>
    </row>
    <row r="849">
      <c r="B849" t="inlineStr">
        <is>
          <t>BIO</t>
        </is>
      </c>
      <c r="C849" t="inlineStr">
        <is>
          <t>Biome Australia Ltd</t>
        </is>
      </c>
      <c r="D849" t="inlineStr">
        <is>
          <t>AUD</t>
        </is>
      </c>
      <c r="E849" t="inlineStr">
        <is>
          <t>ASX</t>
        </is>
      </c>
    </row>
    <row r="850">
      <c r="B850" t="inlineStr">
        <is>
          <t>PLT</t>
        </is>
      </c>
      <c r="C850" t="inlineStr">
        <is>
          <t>Plenti Group Ltd</t>
        </is>
      </c>
      <c r="D850" t="inlineStr">
        <is>
          <t>AUD</t>
        </is>
      </c>
      <c r="E850" t="inlineStr">
        <is>
          <t>ASX</t>
        </is>
      </c>
    </row>
    <row r="851">
      <c r="B851" t="inlineStr">
        <is>
          <t>RCT</t>
        </is>
      </c>
      <c r="C851" t="inlineStr">
        <is>
          <t>Reef Casino Trust</t>
        </is>
      </c>
      <c r="D851" t="inlineStr">
        <is>
          <t>AUD</t>
        </is>
      </c>
      <c r="E851" t="inlineStr">
        <is>
          <t>ASX</t>
        </is>
      </c>
    </row>
    <row r="852">
      <c r="B852" t="inlineStr">
        <is>
          <t>JYC</t>
        </is>
      </c>
      <c r="C852" t="inlineStr">
        <is>
          <t>Joyce Corporation Ltd</t>
        </is>
      </c>
      <c r="D852" t="inlineStr">
        <is>
          <t>AUD</t>
        </is>
      </c>
      <c r="E852" t="inlineStr">
        <is>
          <t>ASX</t>
        </is>
      </c>
    </row>
    <row r="853">
      <c r="B853" t="inlineStr">
        <is>
          <t>CUP</t>
        </is>
      </c>
      <c r="C853" t="inlineStr">
        <is>
          <t>Count Ltd</t>
        </is>
      </c>
      <c r="D853" t="inlineStr">
        <is>
          <t>AUD</t>
        </is>
      </c>
      <c r="E853" t="inlineStr">
        <is>
          <t>ASX</t>
        </is>
      </c>
    </row>
    <row r="854">
      <c r="B854" t="inlineStr">
        <is>
          <t>BBUS</t>
        </is>
      </c>
      <c r="C854" t="inlineStr">
        <is>
          <t>Betashares US EQY Strong Bear - CH (Hedge Fund)</t>
        </is>
      </c>
      <c r="D854" t="inlineStr">
        <is>
          <t>AUD</t>
        </is>
      </c>
      <c r="E854" t="inlineStr">
        <is>
          <t>ASX</t>
        </is>
      </c>
    </row>
    <row r="855">
      <c r="B855" t="inlineStr">
        <is>
          <t>MOGL</t>
        </is>
      </c>
      <c r="C855" t="inlineStr">
        <is>
          <t>Montaka GBL Long Only Equities Fund (Managed Fund)</t>
        </is>
      </c>
      <c r="D855" t="inlineStr">
        <is>
          <t>AUD</t>
        </is>
      </c>
      <c r="E855" t="inlineStr">
        <is>
          <t>ASX</t>
        </is>
      </c>
    </row>
    <row r="856">
      <c r="B856" t="inlineStr">
        <is>
          <t>PCL</t>
        </is>
      </c>
      <c r="C856" t="inlineStr">
        <is>
          <t>Pancontinental Energy NL</t>
        </is>
      </c>
      <c r="D856" t="inlineStr">
        <is>
          <t>AUD</t>
        </is>
      </c>
      <c r="E856" t="inlineStr">
        <is>
          <t>ASX</t>
        </is>
      </c>
    </row>
    <row r="857">
      <c r="B857" t="inlineStr">
        <is>
          <t>SVL</t>
        </is>
      </c>
      <c r="C857" t="inlineStr">
        <is>
          <t>Silver Mines Ltd</t>
        </is>
      </c>
      <c r="D857" t="inlineStr">
        <is>
          <t>AUD</t>
        </is>
      </c>
      <c r="E857" t="inlineStr">
        <is>
          <t>ASX</t>
        </is>
      </c>
    </row>
    <row r="858">
      <c r="B858" t="inlineStr">
        <is>
          <t>X64</t>
        </is>
      </c>
      <c r="C858" t="inlineStr">
        <is>
          <t>Ten Sixty Four Ltd</t>
        </is>
      </c>
      <c r="D858" t="inlineStr">
        <is>
          <t>AUD</t>
        </is>
      </c>
      <c r="E858" t="inlineStr">
        <is>
          <t>ASX</t>
        </is>
      </c>
    </row>
    <row r="859">
      <c r="B859" t="inlineStr">
        <is>
          <t>AEE</t>
        </is>
      </c>
      <c r="C859" t="inlineStr">
        <is>
          <t>Aura Energy Ltd</t>
        </is>
      </c>
      <c r="D859" t="inlineStr">
        <is>
          <t>AUD</t>
        </is>
      </c>
      <c r="E859" t="inlineStr">
        <is>
          <t>ASX</t>
        </is>
      </c>
    </row>
    <row r="860">
      <c r="B860" t="inlineStr">
        <is>
          <t>LRL</t>
        </is>
      </c>
      <c r="C860" t="inlineStr">
        <is>
          <t>Labyrinth Resources Ltd</t>
        </is>
      </c>
      <c r="D860" t="inlineStr">
        <is>
          <t>AUD</t>
        </is>
      </c>
      <c r="E860" t="inlineStr">
        <is>
          <t>ASX</t>
        </is>
      </c>
    </row>
    <row r="861">
      <c r="B861" t="inlineStr">
        <is>
          <t>PTR</t>
        </is>
      </c>
      <c r="C861" t="inlineStr">
        <is>
          <t>Petratherm Ltd</t>
        </is>
      </c>
      <c r="D861" t="inlineStr">
        <is>
          <t>AUD</t>
        </is>
      </c>
      <c r="E861" t="inlineStr">
        <is>
          <t>ASX</t>
        </is>
      </c>
    </row>
    <row r="862">
      <c r="B862" t="inlineStr">
        <is>
          <t>IVZ</t>
        </is>
      </c>
      <c r="C862" t="inlineStr">
        <is>
          <t>Invictus Energy Ltd</t>
        </is>
      </c>
      <c r="D862" t="inlineStr">
        <is>
          <t>AUD</t>
        </is>
      </c>
      <c r="E862" t="inlineStr">
        <is>
          <t>ASX</t>
        </is>
      </c>
    </row>
    <row r="863">
      <c r="B863" t="inlineStr">
        <is>
          <t>VEE</t>
        </is>
      </c>
      <c r="C863" t="inlineStr">
        <is>
          <t>Veem Ltd</t>
        </is>
      </c>
      <c r="D863" t="inlineStr">
        <is>
          <t>AUD</t>
        </is>
      </c>
      <c r="E863" t="inlineStr">
        <is>
          <t>ASX</t>
        </is>
      </c>
    </row>
    <row r="864">
      <c r="B864" t="inlineStr">
        <is>
          <t>TGP</t>
        </is>
      </c>
      <c r="C864" t="inlineStr">
        <is>
          <t>360 Capital Group</t>
        </is>
      </c>
      <c r="D864" t="inlineStr">
        <is>
          <t>AUD</t>
        </is>
      </c>
      <c r="E864" t="inlineStr">
        <is>
          <t>ASX</t>
        </is>
      </c>
    </row>
    <row r="865">
      <c r="B865" t="inlineStr">
        <is>
          <t>ATR</t>
        </is>
      </c>
      <c r="C865" t="inlineStr">
        <is>
          <t>Astron Corporation Ltd</t>
        </is>
      </c>
      <c r="D865" t="inlineStr">
        <is>
          <t>AUD</t>
        </is>
      </c>
      <c r="E865" t="inlineStr">
        <is>
          <t>ASX</t>
        </is>
      </c>
    </row>
    <row r="866">
      <c r="B866" t="inlineStr">
        <is>
          <t>AVL</t>
        </is>
      </c>
      <c r="C866" t="inlineStr">
        <is>
          <t>Australian Vanadium Ltd</t>
        </is>
      </c>
      <c r="D866" t="inlineStr">
        <is>
          <t>AUD</t>
        </is>
      </c>
      <c r="E866" t="inlineStr">
        <is>
          <t>ASX</t>
        </is>
      </c>
    </row>
    <row r="867">
      <c r="B867" t="inlineStr">
        <is>
          <t>ENN</t>
        </is>
      </c>
      <c r="C867" t="inlineStr">
        <is>
          <t>Elanor Investors Group</t>
        </is>
      </c>
      <c r="D867" t="inlineStr">
        <is>
          <t>AUD</t>
        </is>
      </c>
      <c r="E867" t="inlineStr">
        <is>
          <t>ASX</t>
        </is>
      </c>
    </row>
    <row r="868">
      <c r="B868" t="inlineStr">
        <is>
          <t>MTO</t>
        </is>
      </c>
      <c r="C868" t="inlineStr">
        <is>
          <t>Motorcycle Holdings Ltd</t>
        </is>
      </c>
      <c r="D868" t="inlineStr">
        <is>
          <t>AUD</t>
        </is>
      </c>
      <c r="E868" t="inlineStr">
        <is>
          <t>ASX</t>
        </is>
      </c>
    </row>
    <row r="869">
      <c r="B869" t="inlineStr">
        <is>
          <t>NVA</t>
        </is>
      </c>
      <c r="C869" t="inlineStr">
        <is>
          <t>Nova Minerals Ltd</t>
        </is>
      </c>
      <c r="D869" t="inlineStr">
        <is>
          <t>AUD</t>
        </is>
      </c>
      <c r="E869" t="inlineStr">
        <is>
          <t>ASX</t>
        </is>
      </c>
    </row>
    <row r="870">
      <c r="B870" t="inlineStr">
        <is>
          <t>NWSLV</t>
        </is>
      </c>
      <c r="C870" t="inlineStr">
        <is>
          <t>News Corporation</t>
        </is>
      </c>
      <c r="D870" t="inlineStr">
        <is>
          <t>AUD</t>
        </is>
      </c>
      <c r="E870" t="inlineStr">
        <is>
          <t>ASX</t>
        </is>
      </c>
    </row>
    <row r="871">
      <c r="B871" t="inlineStr">
        <is>
          <t>WOT</t>
        </is>
      </c>
      <c r="C871" t="inlineStr">
        <is>
          <t>Wotso Property</t>
        </is>
      </c>
      <c r="D871" t="inlineStr">
        <is>
          <t>AUD</t>
        </is>
      </c>
      <c r="E871" t="inlineStr">
        <is>
          <t>ASX</t>
        </is>
      </c>
    </row>
    <row r="872">
      <c r="B872" t="inlineStr">
        <is>
          <t>SND</t>
        </is>
      </c>
      <c r="C872" t="inlineStr">
        <is>
          <t>Saunders International Ltd</t>
        </is>
      </c>
      <c r="D872" t="inlineStr">
        <is>
          <t>AUD</t>
        </is>
      </c>
      <c r="E872" t="inlineStr">
        <is>
          <t>ASX</t>
        </is>
      </c>
    </row>
    <row r="873">
      <c r="B873" t="inlineStr">
        <is>
          <t>GOW</t>
        </is>
      </c>
      <c r="C873" t="inlineStr">
        <is>
          <t>Gowing Bros Ltd</t>
        </is>
      </c>
      <c r="D873" t="inlineStr">
        <is>
          <t>AUD</t>
        </is>
      </c>
      <c r="E873" t="inlineStr">
        <is>
          <t>ASX</t>
        </is>
      </c>
    </row>
    <row r="874">
      <c r="B874" t="inlineStr">
        <is>
          <t>JEPI</t>
        </is>
      </c>
      <c r="C874" t="inlineStr">
        <is>
          <t>Jpmorgan EQ Prem Income Active ETF (Managed Fund)</t>
        </is>
      </c>
      <c r="D874" t="inlineStr">
        <is>
          <t>AUD</t>
        </is>
      </c>
      <c r="E874" t="inlineStr">
        <is>
          <t>ASX</t>
        </is>
      </c>
    </row>
    <row r="875">
      <c r="B875" t="inlineStr">
        <is>
          <t>KOV</t>
        </is>
      </c>
      <c r="C875" t="inlineStr">
        <is>
          <t>Korvest Ltd</t>
        </is>
      </c>
      <c r="D875" t="inlineStr">
        <is>
          <t>AUD</t>
        </is>
      </c>
      <c r="E875" t="inlineStr">
        <is>
          <t>ASX</t>
        </is>
      </c>
    </row>
    <row r="876">
      <c r="B876" t="inlineStr">
        <is>
          <t>DUB</t>
        </is>
      </c>
      <c r="C876" t="inlineStr">
        <is>
          <t>Dubber Corporation Ltd</t>
        </is>
      </c>
      <c r="D876" t="inlineStr">
        <is>
          <t>AUD</t>
        </is>
      </c>
      <c r="E876" t="inlineStr">
        <is>
          <t>ASX</t>
        </is>
      </c>
    </row>
    <row r="877">
      <c r="B877" t="inlineStr">
        <is>
          <t>AKM</t>
        </is>
      </c>
      <c r="C877" t="inlineStr">
        <is>
          <t>Aspire Mining Ltd</t>
        </is>
      </c>
      <c r="D877" t="inlineStr">
        <is>
          <t>AUD</t>
        </is>
      </c>
      <c r="E877" t="inlineStr">
        <is>
          <t>ASX</t>
        </is>
      </c>
    </row>
    <row r="878">
      <c r="B878" t="inlineStr">
        <is>
          <t>MQAE</t>
        </is>
      </c>
      <c r="C878" t="inlineStr">
        <is>
          <t>Macquarie Core Australian Equity Active ETF</t>
        </is>
      </c>
      <c r="D878" t="inlineStr">
        <is>
          <t>AUD</t>
        </is>
      </c>
      <c r="E878" t="inlineStr">
        <is>
          <t>ASX</t>
        </is>
      </c>
    </row>
    <row r="879">
      <c r="B879" t="inlineStr">
        <is>
          <t>DLI</t>
        </is>
      </c>
      <c r="C879" t="inlineStr">
        <is>
          <t>Delta Lithium Ltd</t>
        </is>
      </c>
      <c r="D879" t="inlineStr">
        <is>
          <t>AUD</t>
        </is>
      </c>
      <c r="E879" t="inlineStr">
        <is>
          <t>ASX</t>
        </is>
      </c>
    </row>
    <row r="880">
      <c r="B880" t="inlineStr">
        <is>
          <t>BET</t>
        </is>
      </c>
      <c r="C880" t="inlineStr">
        <is>
          <t>Betmakers Technology Group Ltd</t>
        </is>
      </c>
      <c r="D880" t="inlineStr">
        <is>
          <t>AUD</t>
        </is>
      </c>
      <c r="E880" t="inlineStr">
        <is>
          <t>ASX</t>
        </is>
      </c>
    </row>
    <row r="881">
      <c r="B881" t="inlineStr">
        <is>
          <t>HFR</t>
        </is>
      </c>
      <c r="C881" t="inlineStr">
        <is>
          <t>Highfield Resources Ltd</t>
        </is>
      </c>
      <c r="D881" t="inlineStr">
        <is>
          <t>AUD</t>
        </is>
      </c>
      <c r="E881" t="inlineStr">
        <is>
          <t>ASX</t>
        </is>
      </c>
    </row>
    <row r="882">
      <c r="B882" t="inlineStr">
        <is>
          <t>TBIL</t>
        </is>
      </c>
      <c r="C882" t="inlineStr">
        <is>
          <t>Vaneck 1-3 Month US Treasury Bond ETF</t>
        </is>
      </c>
      <c r="D882" t="inlineStr">
        <is>
          <t>AUD</t>
        </is>
      </c>
      <c r="E882" t="inlineStr">
        <is>
          <t>ASX</t>
        </is>
      </c>
    </row>
    <row r="883">
      <c r="B883" t="inlineStr">
        <is>
          <t>IKO</t>
        </is>
      </c>
      <c r="C883" t="inlineStr">
        <is>
          <t>Ishares MSCI South Korea ETF</t>
        </is>
      </c>
      <c r="D883" t="inlineStr">
        <is>
          <t>AUD</t>
        </is>
      </c>
      <c r="E883" t="inlineStr">
        <is>
          <t>ASX</t>
        </is>
      </c>
    </row>
    <row r="884">
      <c r="B884" t="inlineStr">
        <is>
          <t>MRL</t>
        </is>
      </c>
      <c r="C884" t="inlineStr">
        <is>
          <t>Mayur Resources Ltd</t>
        </is>
      </c>
      <c r="D884" t="inlineStr">
        <is>
          <t>AUD</t>
        </is>
      </c>
      <c r="E884" t="inlineStr">
        <is>
          <t>ASX</t>
        </is>
      </c>
    </row>
    <row r="885">
      <c r="B885" t="inlineStr">
        <is>
          <t>MTM</t>
        </is>
      </c>
      <c r="C885" t="inlineStr">
        <is>
          <t>MTM Critical Metals Ltd</t>
        </is>
      </c>
      <c r="D885" t="inlineStr">
        <is>
          <t>AUD</t>
        </is>
      </c>
      <c r="E885" t="inlineStr">
        <is>
          <t>ASX</t>
        </is>
      </c>
    </row>
    <row r="886">
      <c r="B886" t="inlineStr">
        <is>
          <t>CY5</t>
        </is>
      </c>
      <c r="C886" t="inlineStr">
        <is>
          <t>CYGNUS Metals Ltd</t>
        </is>
      </c>
      <c r="D886" t="inlineStr">
        <is>
          <t>AUD</t>
        </is>
      </c>
      <c r="E886" t="inlineStr">
        <is>
          <t>ASX</t>
        </is>
      </c>
    </row>
    <row r="887">
      <c r="B887" t="inlineStr">
        <is>
          <t>RXL</t>
        </is>
      </c>
      <c r="C887" t="inlineStr">
        <is>
          <t>ROX Resources Ltd</t>
        </is>
      </c>
      <c r="D887" t="inlineStr">
        <is>
          <t>AUD</t>
        </is>
      </c>
      <c r="E887" t="inlineStr">
        <is>
          <t>ASX</t>
        </is>
      </c>
    </row>
    <row r="888">
      <c r="B888" t="inlineStr">
        <is>
          <t>CAM</t>
        </is>
      </c>
      <c r="C888" t="inlineStr">
        <is>
          <t>Clime Capital Ltd</t>
        </is>
      </c>
      <c r="D888" t="inlineStr">
        <is>
          <t>AUD</t>
        </is>
      </c>
      <c r="E888" t="inlineStr">
        <is>
          <t>ASX</t>
        </is>
      </c>
    </row>
    <row r="889">
      <c r="B889" t="inlineStr">
        <is>
          <t>CGUN</t>
        </is>
      </c>
      <c r="C889" t="inlineStr">
        <is>
          <t>Claremont Global Fund (Managed Fund)</t>
        </is>
      </c>
      <c r="D889" t="inlineStr">
        <is>
          <t>AUD</t>
        </is>
      </c>
      <c r="E889" t="inlineStr">
        <is>
          <t>ASX</t>
        </is>
      </c>
    </row>
    <row r="890">
      <c r="B890" t="inlineStr">
        <is>
          <t>OOO</t>
        </is>
      </c>
      <c r="C890" t="inlineStr">
        <is>
          <t>Betashares Crude Oil INDEX Currncy HDG Complex ETF</t>
        </is>
      </c>
      <c r="D890" t="inlineStr">
        <is>
          <t>AUD</t>
        </is>
      </c>
      <c r="E890" t="inlineStr">
        <is>
          <t>ASX</t>
        </is>
      </c>
    </row>
    <row r="891">
      <c r="B891" t="inlineStr">
        <is>
          <t>SDI</t>
        </is>
      </c>
      <c r="C891" t="inlineStr">
        <is>
          <t>SDI Ltd</t>
        </is>
      </c>
      <c r="D891" t="inlineStr">
        <is>
          <t>AUD</t>
        </is>
      </c>
      <c r="E891" t="inlineStr">
        <is>
          <t>ASX</t>
        </is>
      </c>
    </row>
    <row r="892">
      <c r="B892" t="inlineStr">
        <is>
          <t>CVV</t>
        </is>
      </c>
      <c r="C892" t="inlineStr">
        <is>
          <t>Caravel Minerals Ltd</t>
        </is>
      </c>
      <c r="D892" t="inlineStr">
        <is>
          <t>AUD</t>
        </is>
      </c>
      <c r="E892" t="inlineStr">
        <is>
          <t>ASX</t>
        </is>
      </c>
    </row>
    <row r="893">
      <c r="B893" t="inlineStr">
        <is>
          <t>SNC</t>
        </is>
      </c>
      <c r="C893" t="inlineStr">
        <is>
          <t>Sandon Capital Investments Ltd</t>
        </is>
      </c>
      <c r="D893" t="inlineStr">
        <is>
          <t>AUD</t>
        </is>
      </c>
      <c r="E893" t="inlineStr">
        <is>
          <t>ASX</t>
        </is>
      </c>
    </row>
    <row r="894">
      <c r="B894" t="inlineStr">
        <is>
          <t>AHC</t>
        </is>
      </c>
      <c r="C894" t="inlineStr">
        <is>
          <t>Austco Healthcare Ltd</t>
        </is>
      </c>
      <c r="D894" t="inlineStr">
        <is>
          <t>AUD</t>
        </is>
      </c>
      <c r="E894" t="inlineStr">
        <is>
          <t>ASX</t>
        </is>
      </c>
    </row>
    <row r="895">
      <c r="B895" t="inlineStr">
        <is>
          <t>EL8</t>
        </is>
      </c>
      <c r="C895" t="inlineStr">
        <is>
          <t>Elevate Uranium Ltd</t>
        </is>
      </c>
      <c r="D895" t="inlineStr">
        <is>
          <t>AUD</t>
        </is>
      </c>
      <c r="E895" t="inlineStr">
        <is>
          <t>ASX</t>
        </is>
      </c>
    </row>
    <row r="896">
      <c r="B896" t="inlineStr">
        <is>
          <t>VNL</t>
        </is>
      </c>
      <c r="C896" t="inlineStr">
        <is>
          <t>Vinyl Group Ltd</t>
        </is>
      </c>
      <c r="D896" t="inlineStr">
        <is>
          <t>AUD</t>
        </is>
      </c>
      <c r="E896" t="inlineStr">
        <is>
          <t>ASX</t>
        </is>
      </c>
    </row>
    <row r="897">
      <c r="B897" t="inlineStr">
        <is>
          <t>LIN</t>
        </is>
      </c>
      <c r="C897" t="inlineStr">
        <is>
          <t>Lindian Resources Ltd</t>
        </is>
      </c>
      <c r="D897" t="inlineStr">
        <is>
          <t>AUD</t>
        </is>
      </c>
      <c r="E897" t="inlineStr">
        <is>
          <t>ASX</t>
        </is>
      </c>
    </row>
    <row r="898">
      <c r="B898" t="inlineStr">
        <is>
          <t>TOP</t>
        </is>
      </c>
      <c r="C898" t="inlineStr">
        <is>
          <t>Thorney Opportunities Ltd</t>
        </is>
      </c>
      <c r="D898" t="inlineStr">
        <is>
          <t>AUD</t>
        </is>
      </c>
      <c r="E898" t="inlineStr">
        <is>
          <t>ASX</t>
        </is>
      </c>
    </row>
    <row r="899">
      <c r="B899" t="inlineStr">
        <is>
          <t>FDV</t>
        </is>
      </c>
      <c r="C899" t="inlineStr">
        <is>
          <t>Frontier Digital Ventures Ltd</t>
        </is>
      </c>
      <c r="D899" t="inlineStr">
        <is>
          <t>AUD</t>
        </is>
      </c>
      <c r="E899" t="inlineStr">
        <is>
          <t>ASX</t>
        </is>
      </c>
    </row>
    <row r="900">
      <c r="B900" t="inlineStr">
        <is>
          <t>CNEW</t>
        </is>
      </c>
      <c r="C900" t="inlineStr">
        <is>
          <t>Vaneck China New Economy ETF</t>
        </is>
      </c>
      <c r="D900" t="inlineStr">
        <is>
          <t>AUD</t>
        </is>
      </c>
      <c r="E900" t="inlineStr">
        <is>
          <t>ASX</t>
        </is>
      </c>
    </row>
    <row r="901">
      <c r="B901" t="inlineStr">
        <is>
          <t>TGF</t>
        </is>
      </c>
      <c r="C901" t="inlineStr">
        <is>
          <t>Tribeca Global Natural Resources Ltd</t>
        </is>
      </c>
      <c r="D901" t="inlineStr">
        <is>
          <t>AUD</t>
        </is>
      </c>
      <c r="E901" t="inlineStr">
        <is>
          <t>ASX</t>
        </is>
      </c>
    </row>
    <row r="902">
      <c r="B902" t="inlineStr">
        <is>
          <t>SMP</t>
        </is>
      </c>
      <c r="C902" t="inlineStr">
        <is>
          <t>Smartpay Holdings Ltd</t>
        </is>
      </c>
      <c r="D902" t="inlineStr">
        <is>
          <t>AUD</t>
        </is>
      </c>
      <c r="E902" t="inlineStr">
        <is>
          <t>ASX</t>
        </is>
      </c>
    </row>
    <row r="903">
      <c r="B903" t="inlineStr">
        <is>
          <t>NZK</t>
        </is>
      </c>
      <c r="C903" t="inlineStr">
        <is>
          <t>New Zealand King Salmon Investments Ltd</t>
        </is>
      </c>
      <c r="D903" t="inlineStr">
        <is>
          <t>AUD</t>
        </is>
      </c>
      <c r="E903" t="inlineStr">
        <is>
          <t>ASX</t>
        </is>
      </c>
    </row>
    <row r="904">
      <c r="B904" t="inlineStr">
        <is>
          <t>LRK</t>
        </is>
      </c>
      <c r="C904" t="inlineStr">
        <is>
          <t>Lark Distilling Co. Ltd</t>
        </is>
      </c>
      <c r="D904" t="inlineStr">
        <is>
          <t>AUD</t>
        </is>
      </c>
      <c r="E904" t="inlineStr">
        <is>
          <t>ASX</t>
        </is>
      </c>
    </row>
    <row r="905">
      <c r="B905" t="inlineStr">
        <is>
          <t>SNT</t>
        </is>
      </c>
      <c r="C905" t="inlineStr">
        <is>
          <t>Syntara Ltd</t>
        </is>
      </c>
      <c r="D905" t="inlineStr">
        <is>
          <t>AUD</t>
        </is>
      </c>
      <c r="E905" t="inlineStr">
        <is>
          <t>ASX</t>
        </is>
      </c>
    </row>
    <row r="906">
      <c r="B906" t="inlineStr">
        <is>
          <t>BUB</t>
        </is>
      </c>
      <c r="C906" t="inlineStr">
        <is>
          <t>Bubs Australia Ltd</t>
        </is>
      </c>
      <c r="D906" t="inlineStr">
        <is>
          <t>AUD</t>
        </is>
      </c>
      <c r="E906" t="inlineStr">
        <is>
          <t>ASX</t>
        </is>
      </c>
    </row>
    <row r="907">
      <c r="B907" t="inlineStr">
        <is>
          <t>IPD</t>
        </is>
      </c>
      <c r="C907" t="inlineStr">
        <is>
          <t>Impedimed Ltd</t>
        </is>
      </c>
      <c r="D907" t="inlineStr">
        <is>
          <t>AUD</t>
        </is>
      </c>
      <c r="E907" t="inlineStr">
        <is>
          <t>ASX</t>
        </is>
      </c>
    </row>
    <row r="908">
      <c r="B908" t="inlineStr">
        <is>
          <t>RSH</t>
        </is>
      </c>
      <c r="C908" t="inlineStr">
        <is>
          <t>Respiri Ltd</t>
        </is>
      </c>
      <c r="D908" t="inlineStr">
        <is>
          <t>AUD</t>
        </is>
      </c>
      <c r="E908" t="inlineStr">
        <is>
          <t>ASX</t>
        </is>
      </c>
    </row>
    <row r="909">
      <c r="B909" t="inlineStr">
        <is>
          <t>MHG</t>
        </is>
      </c>
      <c r="C909" t="inlineStr">
        <is>
          <t>Magellan Global EQ Fund (Currencyhdg) - Active ETF</t>
        </is>
      </c>
      <c r="D909" t="inlineStr">
        <is>
          <t>AUD</t>
        </is>
      </c>
      <c r="E909" t="inlineStr">
        <is>
          <t>ASX</t>
        </is>
      </c>
    </row>
    <row r="910">
      <c r="B910" t="inlineStr">
        <is>
          <t>VLS</t>
        </is>
      </c>
      <c r="C910" t="inlineStr">
        <is>
          <t>Vita Life Sciences Ltd</t>
        </is>
      </c>
      <c r="D910" t="inlineStr">
        <is>
          <t>AUD</t>
        </is>
      </c>
      <c r="E910" t="inlineStr">
        <is>
          <t>ASX</t>
        </is>
      </c>
    </row>
    <row r="911">
      <c r="B911" t="inlineStr">
        <is>
          <t>MDR</t>
        </is>
      </c>
      <c r="C911" t="inlineStr">
        <is>
          <t>Medadvisor Ltd</t>
        </is>
      </c>
      <c r="D911" t="inlineStr">
        <is>
          <t>AUD</t>
        </is>
      </c>
      <c r="E911" t="inlineStr">
        <is>
          <t>ASX</t>
        </is>
      </c>
    </row>
    <row r="912">
      <c r="B912" t="inlineStr">
        <is>
          <t>GDC</t>
        </is>
      </c>
      <c r="C912" t="inlineStr">
        <is>
          <t>Global Data Centre Group</t>
        </is>
      </c>
      <c r="D912" t="inlineStr">
        <is>
          <t>AUD</t>
        </is>
      </c>
      <c r="E912" t="inlineStr">
        <is>
          <t>ASX</t>
        </is>
      </c>
    </row>
    <row r="913">
      <c r="B913" t="inlineStr">
        <is>
          <t>BCN</t>
        </is>
      </c>
      <c r="C913" t="inlineStr">
        <is>
          <t>Beacon Minerals Ltd</t>
        </is>
      </c>
      <c r="D913" t="inlineStr">
        <is>
          <t>AUD</t>
        </is>
      </c>
      <c r="E913" t="inlineStr">
        <is>
          <t>ASX</t>
        </is>
      </c>
    </row>
    <row r="914">
      <c r="B914" t="inlineStr">
        <is>
          <t>AXE</t>
        </is>
      </c>
      <c r="C914" t="inlineStr">
        <is>
          <t>Archer Materials Ltd</t>
        </is>
      </c>
      <c r="D914" t="inlineStr">
        <is>
          <t>AUD</t>
        </is>
      </c>
      <c r="E914" t="inlineStr">
        <is>
          <t>ASX</t>
        </is>
      </c>
    </row>
    <row r="915">
      <c r="B915" t="inlineStr">
        <is>
          <t>BRI</t>
        </is>
      </c>
      <c r="C915" t="inlineStr">
        <is>
          <t>Big River Industries Ltd</t>
        </is>
      </c>
      <c r="D915" t="inlineStr">
        <is>
          <t>AUD</t>
        </is>
      </c>
      <c r="E915" t="inlineStr">
        <is>
          <t>ASX</t>
        </is>
      </c>
    </row>
    <row r="916">
      <c r="B916" t="inlineStr">
        <is>
          <t>RCE</t>
        </is>
      </c>
      <c r="C916" t="inlineStr">
        <is>
          <t>Recce Pharmaceuticals Ltd</t>
        </is>
      </c>
      <c r="D916" t="inlineStr">
        <is>
          <t>AUD</t>
        </is>
      </c>
      <c r="E916" t="inlineStr">
        <is>
          <t>ASX</t>
        </is>
      </c>
    </row>
    <row r="917">
      <c r="B917" t="inlineStr">
        <is>
          <t>MWY</t>
        </is>
      </c>
      <c r="C917" t="inlineStr">
        <is>
          <t>Midway Ltd</t>
        </is>
      </c>
      <c r="D917" t="inlineStr">
        <is>
          <t>AUD</t>
        </is>
      </c>
      <c r="E917" t="inlineStr">
        <is>
          <t>ASX</t>
        </is>
      </c>
    </row>
    <row r="918">
      <c r="B918" t="inlineStr">
        <is>
          <t>GTN</t>
        </is>
      </c>
      <c r="C918" t="inlineStr">
        <is>
          <t>GTN Ltd</t>
        </is>
      </c>
      <c r="D918" t="inlineStr">
        <is>
          <t>AUD</t>
        </is>
      </c>
      <c r="E918" t="inlineStr">
        <is>
          <t>ASX</t>
        </is>
      </c>
    </row>
    <row r="919">
      <c r="B919" t="inlineStr">
        <is>
          <t>MXI</t>
        </is>
      </c>
      <c r="C919" t="inlineStr">
        <is>
          <t>Maxiparts Ltd</t>
        </is>
      </c>
      <c r="D919" t="inlineStr">
        <is>
          <t>AUD</t>
        </is>
      </c>
      <c r="E919" t="inlineStr">
        <is>
          <t>ASX</t>
        </is>
      </c>
    </row>
    <row r="920">
      <c r="B920" t="inlineStr">
        <is>
          <t>EZZ</t>
        </is>
      </c>
      <c r="C920" t="inlineStr">
        <is>
          <t>EZZ Life Science Holdings Ltd</t>
        </is>
      </c>
      <c r="D920" t="inlineStr">
        <is>
          <t>AUD</t>
        </is>
      </c>
      <c r="E920" t="inlineStr">
        <is>
          <t>ASX</t>
        </is>
      </c>
    </row>
    <row r="921">
      <c r="B921" t="inlineStr">
        <is>
          <t>TRS</t>
        </is>
      </c>
      <c r="C921" t="inlineStr">
        <is>
          <t>The Reject Shop Ltd</t>
        </is>
      </c>
      <c r="D921" t="inlineStr">
        <is>
          <t>AUD</t>
        </is>
      </c>
      <c r="E921" t="inlineStr">
        <is>
          <t>ASX</t>
        </is>
      </c>
    </row>
    <row r="922">
      <c r="B922" t="inlineStr">
        <is>
          <t>WR1</t>
        </is>
      </c>
      <c r="C922" t="inlineStr">
        <is>
          <t>Winsome Resources Ltd</t>
        </is>
      </c>
      <c r="D922" t="inlineStr">
        <is>
          <t>AUD</t>
        </is>
      </c>
      <c r="E922" t="inlineStr">
        <is>
          <t>ASX</t>
        </is>
      </c>
    </row>
    <row r="923">
      <c r="B923" t="inlineStr">
        <is>
          <t>ST1</t>
        </is>
      </c>
      <c r="C923" t="inlineStr">
        <is>
          <t>Spirit Technology Solutions Ltd</t>
        </is>
      </c>
      <c r="D923" t="inlineStr">
        <is>
          <t>AUD</t>
        </is>
      </c>
      <c r="E923" t="inlineStr">
        <is>
          <t>ASX</t>
        </is>
      </c>
    </row>
    <row r="924">
      <c r="B924" t="inlineStr">
        <is>
          <t>MCCL</t>
        </is>
      </c>
      <c r="C924" t="inlineStr">
        <is>
          <t>Munro Climate Change Leaders Fund Active ETF</t>
        </is>
      </c>
      <c r="D924" t="inlineStr">
        <is>
          <t>AUD</t>
        </is>
      </c>
      <c r="E924" t="inlineStr">
        <is>
          <t>ASX</t>
        </is>
      </c>
    </row>
    <row r="925">
      <c r="B925" t="inlineStr">
        <is>
          <t>DAOR</t>
        </is>
      </c>
      <c r="C925" t="inlineStr">
        <is>
          <t>Aoris Int Fund (Class D) (Hedged) Active ETF</t>
        </is>
      </c>
      <c r="D925" t="inlineStr">
        <is>
          <t>AUD</t>
        </is>
      </c>
      <c r="E925" t="inlineStr">
        <is>
          <t>ASX</t>
        </is>
      </c>
    </row>
    <row r="926">
      <c r="B926" t="inlineStr">
        <is>
          <t>EGL</t>
        </is>
      </c>
      <c r="C926" t="inlineStr">
        <is>
          <t>Environmental Group Ltd (the)</t>
        </is>
      </c>
      <c r="D926" t="inlineStr">
        <is>
          <t>AUD</t>
        </is>
      </c>
      <c r="E926" t="inlineStr">
        <is>
          <t>ASX</t>
        </is>
      </c>
    </row>
    <row r="927">
      <c r="B927" t="inlineStr">
        <is>
          <t>RYD</t>
        </is>
      </c>
      <c r="C927" t="inlineStr">
        <is>
          <t>Ryder Capital Ltd</t>
        </is>
      </c>
      <c r="D927" t="inlineStr">
        <is>
          <t>AUD</t>
        </is>
      </c>
      <c r="E927" t="inlineStr">
        <is>
          <t>ASX</t>
        </is>
      </c>
    </row>
    <row r="928">
      <c r="B928" t="inlineStr">
        <is>
          <t>TWD</t>
        </is>
      </c>
      <c r="C928" t="inlineStr">
        <is>
          <t>Tamawood Ltd</t>
        </is>
      </c>
      <c r="D928" t="inlineStr">
        <is>
          <t>AUD</t>
        </is>
      </c>
      <c r="E928" t="inlineStr">
        <is>
          <t>ASX</t>
        </is>
      </c>
    </row>
    <row r="929">
      <c r="B929" t="inlineStr">
        <is>
          <t>CLG</t>
        </is>
      </c>
      <c r="C929" t="inlineStr">
        <is>
          <t>Close the Loop Ltd</t>
        </is>
      </c>
      <c r="D929" t="inlineStr">
        <is>
          <t>AUD</t>
        </is>
      </c>
      <c r="E929" t="inlineStr">
        <is>
          <t>ASX</t>
        </is>
      </c>
    </row>
    <row r="930">
      <c r="B930" t="inlineStr">
        <is>
          <t>IMA</t>
        </is>
      </c>
      <c r="C930" t="inlineStr">
        <is>
          <t>Image Resources NL</t>
        </is>
      </c>
      <c r="D930" t="inlineStr">
        <is>
          <t>AUD</t>
        </is>
      </c>
      <c r="E930" t="inlineStr">
        <is>
          <t>ASX</t>
        </is>
      </c>
    </row>
    <row r="931">
      <c r="B931" t="inlineStr">
        <is>
          <t>HQUS</t>
        </is>
      </c>
      <c r="C931" t="inlineStr">
        <is>
          <t>Betashares S&amp;P 500 EQUAL Weight Currency Hedged ETF</t>
        </is>
      </c>
      <c r="D931" t="inlineStr">
        <is>
          <t>AUD</t>
        </is>
      </c>
      <c r="E931" t="inlineStr">
        <is>
          <t>ASX</t>
        </is>
      </c>
    </row>
    <row r="932">
      <c r="B932" t="inlineStr">
        <is>
          <t>TOK</t>
        </is>
      </c>
      <c r="C932" t="inlineStr">
        <is>
          <t>Tolu Minerals Ltd</t>
        </is>
      </c>
      <c r="D932" t="inlineStr">
        <is>
          <t>AUD</t>
        </is>
      </c>
      <c r="E932" t="inlineStr">
        <is>
          <t>ASX</t>
        </is>
      </c>
    </row>
    <row r="933">
      <c r="B933" t="inlineStr">
        <is>
          <t>HCH</t>
        </is>
      </c>
      <c r="C933" t="inlineStr">
        <is>
          <t>Hot Chili Ltd</t>
        </is>
      </c>
      <c r="D933" t="inlineStr">
        <is>
          <t>AUD</t>
        </is>
      </c>
      <c r="E933" t="inlineStr">
        <is>
          <t>ASX</t>
        </is>
      </c>
    </row>
    <row r="934">
      <c r="B934" t="inlineStr">
        <is>
          <t>OMA</t>
        </is>
      </c>
      <c r="C934" t="inlineStr">
        <is>
          <t>Omega Oil &amp; Gas Ltd</t>
        </is>
      </c>
      <c r="D934" t="inlineStr">
        <is>
          <t>AUD</t>
        </is>
      </c>
      <c r="E934" t="inlineStr">
        <is>
          <t>ASX</t>
        </is>
      </c>
    </row>
    <row r="935">
      <c r="B935" t="inlineStr">
        <is>
          <t>CD3</t>
        </is>
      </c>
      <c r="C935" t="inlineStr">
        <is>
          <t>CD Private Equity Fund Iii</t>
        </is>
      </c>
      <c r="D935" t="inlineStr">
        <is>
          <t>AUD</t>
        </is>
      </c>
      <c r="E935" t="inlineStr">
        <is>
          <t>ASX</t>
        </is>
      </c>
    </row>
    <row r="936">
      <c r="B936" t="inlineStr">
        <is>
          <t>DZZF</t>
        </is>
      </c>
      <c r="C936" t="inlineStr">
        <is>
          <t>Betashares Ethical Diversified High Growth ETF</t>
        </is>
      </c>
      <c r="D936" t="inlineStr">
        <is>
          <t>AUD</t>
        </is>
      </c>
      <c r="E936" t="inlineStr">
        <is>
          <t>ASX</t>
        </is>
      </c>
    </row>
    <row r="937">
      <c r="B937" t="inlineStr">
        <is>
          <t>TTM</t>
        </is>
      </c>
      <c r="C937" t="inlineStr">
        <is>
          <t>Titan Minerals Ltd</t>
        </is>
      </c>
      <c r="D937" t="inlineStr">
        <is>
          <t>AUD</t>
        </is>
      </c>
      <c r="E937" t="inlineStr">
        <is>
          <t>ASX</t>
        </is>
      </c>
    </row>
    <row r="938">
      <c r="B938" t="inlineStr">
        <is>
          <t>TPC</t>
        </is>
      </c>
      <c r="C938" t="inlineStr">
        <is>
          <t>TPC Consolidated Ltd</t>
        </is>
      </c>
      <c r="D938" t="inlineStr">
        <is>
          <t>AUD</t>
        </is>
      </c>
      <c r="E938" t="inlineStr">
        <is>
          <t>ASX</t>
        </is>
      </c>
    </row>
    <row r="939">
      <c r="B939" t="inlineStr">
        <is>
          <t>BDM</t>
        </is>
      </c>
      <c r="C939" t="inlineStr">
        <is>
          <t>Burgundy Diamond Mines Ltd</t>
        </is>
      </c>
      <c r="D939" t="inlineStr">
        <is>
          <t>AUD</t>
        </is>
      </c>
      <c r="E939" t="inlineStr">
        <is>
          <t>ASX</t>
        </is>
      </c>
    </row>
    <row r="940">
      <c r="B940" t="inlineStr">
        <is>
          <t>IIGF</t>
        </is>
      </c>
      <c r="C940" t="inlineStr">
        <is>
          <t>Intelligent Investor Aus EQ GRTH Fund - Active ETF</t>
        </is>
      </c>
      <c r="D940" t="inlineStr">
        <is>
          <t>AUD</t>
        </is>
      </c>
      <c r="E940" t="inlineStr">
        <is>
          <t>ASX</t>
        </is>
      </c>
    </row>
    <row r="941">
      <c r="B941" t="inlineStr">
        <is>
          <t>FSA</t>
        </is>
      </c>
      <c r="C941" t="inlineStr">
        <is>
          <t>FSA Group Ltd</t>
        </is>
      </c>
      <c r="D941" t="inlineStr">
        <is>
          <t>AUD</t>
        </is>
      </c>
      <c r="E941" t="inlineStr">
        <is>
          <t>ASX</t>
        </is>
      </c>
    </row>
    <row r="942">
      <c r="B942" t="inlineStr">
        <is>
          <t>EGG</t>
        </is>
      </c>
      <c r="C942" t="inlineStr">
        <is>
          <t>Enero Group Ltd</t>
        </is>
      </c>
      <c r="D942" t="inlineStr">
        <is>
          <t>AUD</t>
        </is>
      </c>
      <c r="E942" t="inlineStr">
        <is>
          <t>ASX</t>
        </is>
      </c>
    </row>
    <row r="943">
      <c r="B943" t="inlineStr">
        <is>
          <t>ARA</t>
        </is>
      </c>
      <c r="C943" t="inlineStr">
        <is>
          <t>Ariadne Australia Ltd</t>
        </is>
      </c>
      <c r="D943" t="inlineStr">
        <is>
          <t>AUD</t>
        </is>
      </c>
      <c r="E943" t="inlineStr">
        <is>
          <t>ASX</t>
        </is>
      </c>
    </row>
    <row r="944">
      <c r="B944" t="inlineStr">
        <is>
          <t>PCG</t>
        </is>
      </c>
      <c r="C944" t="inlineStr">
        <is>
          <t>Pengana Capital Group Ltd</t>
        </is>
      </c>
      <c r="D944" t="inlineStr">
        <is>
          <t>AUD</t>
        </is>
      </c>
      <c r="E944" t="inlineStr">
        <is>
          <t>ASX</t>
        </is>
      </c>
    </row>
    <row r="945">
      <c r="B945" t="inlineStr">
        <is>
          <t>ETM</t>
        </is>
      </c>
      <c r="C945" t="inlineStr">
        <is>
          <t>Energy Transition Minerals Ltd</t>
        </is>
      </c>
      <c r="D945" t="inlineStr">
        <is>
          <t>AUD</t>
        </is>
      </c>
      <c r="E945" t="inlineStr">
        <is>
          <t>ASX</t>
        </is>
      </c>
    </row>
    <row r="946">
      <c r="B946" t="inlineStr">
        <is>
          <t>ORN</t>
        </is>
      </c>
      <c r="C946" t="inlineStr">
        <is>
          <t>Orion Minerals Ltd</t>
        </is>
      </c>
      <c r="D946" t="inlineStr">
        <is>
          <t>AUD</t>
        </is>
      </c>
      <c r="E946" t="inlineStr">
        <is>
          <t>ASX</t>
        </is>
      </c>
    </row>
    <row r="947">
      <c r="B947" t="inlineStr">
        <is>
          <t>SMLL</t>
        </is>
      </c>
      <c r="C947" t="inlineStr">
        <is>
          <t>Betashares Australian Small Companies Select ETF</t>
        </is>
      </c>
      <c r="D947" t="inlineStr">
        <is>
          <t>AUD</t>
        </is>
      </c>
      <c r="E947" t="inlineStr">
        <is>
          <t>ASX</t>
        </is>
      </c>
    </row>
    <row r="948">
      <c r="B948" t="inlineStr">
        <is>
          <t>DRX</t>
        </is>
      </c>
      <c r="C948" t="inlineStr">
        <is>
          <t>Diatreme Resources Ltd</t>
        </is>
      </c>
      <c r="D948" t="inlineStr">
        <is>
          <t>AUD</t>
        </is>
      </c>
      <c r="E948" t="inlineStr">
        <is>
          <t>ASX</t>
        </is>
      </c>
    </row>
    <row r="949">
      <c r="B949" t="inlineStr">
        <is>
          <t>EXP</t>
        </is>
      </c>
      <c r="C949" t="inlineStr">
        <is>
          <t>Experience Co Ltd</t>
        </is>
      </c>
      <c r="D949" t="inlineStr">
        <is>
          <t>AUD</t>
        </is>
      </c>
      <c r="E949" t="inlineStr">
        <is>
          <t>ASX</t>
        </is>
      </c>
    </row>
    <row r="950">
      <c r="B950" t="inlineStr">
        <is>
          <t>ERTH</t>
        </is>
      </c>
      <c r="C950" t="inlineStr">
        <is>
          <t>Betashares Climate Change Innovation ETF</t>
        </is>
      </c>
      <c r="D950" t="inlineStr">
        <is>
          <t>AUD</t>
        </is>
      </c>
      <c r="E950" t="inlineStr">
        <is>
          <t>ASX</t>
        </is>
      </c>
    </row>
    <row r="951">
      <c r="B951" t="inlineStr">
        <is>
          <t>HZR</t>
        </is>
      </c>
      <c r="C951" t="inlineStr">
        <is>
          <t>HAZER Group Ltd</t>
        </is>
      </c>
      <c r="D951" t="inlineStr">
        <is>
          <t>AUD</t>
        </is>
      </c>
      <c r="E951" t="inlineStr">
        <is>
          <t>ASX</t>
        </is>
      </c>
    </row>
    <row r="952">
      <c r="B952" t="inlineStr">
        <is>
          <t>XASG</t>
        </is>
      </c>
      <c r="C952" t="inlineStr">
        <is>
          <t>Alphinity Global Sustainable Equity Fund - Active ETF</t>
        </is>
      </c>
      <c r="D952" t="inlineStr">
        <is>
          <t>AUD</t>
        </is>
      </c>
      <c r="E952" t="inlineStr">
        <is>
          <t>ASX</t>
        </is>
      </c>
    </row>
    <row r="953">
      <c r="B953" t="inlineStr">
        <is>
          <t>QFN</t>
        </is>
      </c>
      <c r="C953" t="inlineStr">
        <is>
          <t>Betashares Australian Financials Sector ETF</t>
        </is>
      </c>
      <c r="D953" t="inlineStr">
        <is>
          <t>AUD</t>
        </is>
      </c>
      <c r="E953" t="inlineStr">
        <is>
          <t>ASX</t>
        </is>
      </c>
    </row>
    <row r="954">
      <c r="B954" t="inlineStr">
        <is>
          <t>LTP</t>
        </is>
      </c>
      <c r="C954" t="inlineStr">
        <is>
          <t>LTR Pharma Ltd</t>
        </is>
      </c>
      <c r="D954" t="inlineStr">
        <is>
          <t>AUD</t>
        </is>
      </c>
      <c r="E954" t="inlineStr">
        <is>
          <t>ASX</t>
        </is>
      </c>
    </row>
    <row r="955">
      <c r="B955" t="inlineStr">
        <is>
          <t>PTN</t>
        </is>
      </c>
      <c r="C955" t="inlineStr">
        <is>
          <t>Patronus Resources Ltd</t>
        </is>
      </c>
      <c r="D955" t="inlineStr">
        <is>
          <t>AUD</t>
        </is>
      </c>
      <c r="E955" t="inlineStr">
        <is>
          <t>ASX</t>
        </is>
      </c>
    </row>
    <row r="956">
      <c r="B956" t="inlineStr">
        <is>
          <t>PPE</t>
        </is>
      </c>
      <c r="C956" t="inlineStr">
        <is>
          <t>Peoplein Ltd</t>
        </is>
      </c>
      <c r="D956" t="inlineStr">
        <is>
          <t>AUD</t>
        </is>
      </c>
      <c r="E956" t="inlineStr">
        <is>
          <t>ASX</t>
        </is>
      </c>
    </row>
    <row r="957">
      <c r="B957" t="inlineStr">
        <is>
          <t>ECL</t>
        </is>
      </c>
      <c r="C957" t="inlineStr">
        <is>
          <t>Excelsior Capital Ltd</t>
        </is>
      </c>
      <c r="D957" t="inlineStr">
        <is>
          <t>AUD</t>
        </is>
      </c>
      <c r="E957" t="inlineStr">
        <is>
          <t>ASX</t>
        </is>
      </c>
    </row>
    <row r="958">
      <c r="B958" t="inlineStr">
        <is>
          <t>HQLT</t>
        </is>
      </c>
      <c r="C958" t="inlineStr">
        <is>
          <t>Betashares Global Quality Leaders Currency Hedged ETF</t>
        </is>
      </c>
      <c r="D958" t="inlineStr">
        <is>
          <t>AUD</t>
        </is>
      </c>
      <c r="E958" t="inlineStr">
        <is>
          <t>ASX</t>
        </is>
      </c>
    </row>
    <row r="959">
      <c r="B959" t="inlineStr">
        <is>
          <t>SDV</t>
        </is>
      </c>
      <c r="C959" t="inlineStr">
        <is>
          <t>Scidev Ltd</t>
        </is>
      </c>
      <c r="D959" t="inlineStr">
        <is>
          <t>AUD</t>
        </is>
      </c>
      <c r="E959" t="inlineStr">
        <is>
          <t>ASX</t>
        </is>
      </c>
    </row>
    <row r="960">
      <c r="B960" t="inlineStr">
        <is>
          <t>BBL</t>
        </is>
      </c>
      <c r="C960" t="inlineStr">
        <is>
          <t>Brisbane Broncos Ltd</t>
        </is>
      </c>
      <c r="D960" t="inlineStr">
        <is>
          <t>AUD</t>
        </is>
      </c>
      <c r="E960" t="inlineStr">
        <is>
          <t>ASX</t>
        </is>
      </c>
    </row>
    <row r="961">
      <c r="B961" t="inlineStr">
        <is>
          <t>ATC</t>
        </is>
      </c>
      <c r="C961" t="inlineStr">
        <is>
          <t>Altech Batteries Ltd</t>
        </is>
      </c>
      <c r="D961" t="inlineStr">
        <is>
          <t>AUD</t>
        </is>
      </c>
      <c r="E961" t="inlineStr">
        <is>
          <t>ASX</t>
        </is>
      </c>
    </row>
    <row r="962">
      <c r="B962" t="inlineStr">
        <is>
          <t>IOD</t>
        </is>
      </c>
      <c r="C962" t="inlineStr">
        <is>
          <t>Iodm Ltd</t>
        </is>
      </c>
      <c r="D962" t="inlineStr">
        <is>
          <t>AUD</t>
        </is>
      </c>
      <c r="E962" t="inlineStr">
        <is>
          <t>ASX</t>
        </is>
      </c>
    </row>
    <row r="963">
      <c r="B963" t="inlineStr">
        <is>
          <t>MAY</t>
        </is>
      </c>
      <c r="C963" t="inlineStr">
        <is>
          <t>Melbana Energy Ltd</t>
        </is>
      </c>
      <c r="D963" t="inlineStr">
        <is>
          <t>AUD</t>
        </is>
      </c>
      <c r="E963" t="inlineStr">
        <is>
          <t>ASX</t>
        </is>
      </c>
    </row>
    <row r="964">
      <c r="B964" t="inlineStr">
        <is>
          <t>PNC</t>
        </is>
      </c>
      <c r="C964" t="inlineStr">
        <is>
          <t>Pioneer Credit Ltd</t>
        </is>
      </c>
      <c r="D964" t="inlineStr">
        <is>
          <t>AUD</t>
        </is>
      </c>
      <c r="E964" t="inlineStr">
        <is>
          <t>ASX</t>
        </is>
      </c>
    </row>
    <row r="965">
      <c r="B965" t="inlineStr">
        <is>
          <t>NNWH</t>
        </is>
      </c>
      <c r="C965" t="inlineStr">
        <is>
          <t>Nanuk New World Fund (Currency Hedged) Active ETF</t>
        </is>
      </c>
      <c r="D965" t="inlineStr">
        <is>
          <t>AUD</t>
        </is>
      </c>
      <c r="E965" t="inlineStr">
        <is>
          <t>ASX</t>
        </is>
      </c>
    </row>
    <row r="966">
      <c r="B966" t="inlineStr">
        <is>
          <t>ALC</t>
        </is>
      </c>
      <c r="C966" t="inlineStr">
        <is>
          <t>Alcidion Group Ltd</t>
        </is>
      </c>
      <c r="D966" t="inlineStr">
        <is>
          <t>AUD</t>
        </is>
      </c>
      <c r="E966" t="inlineStr">
        <is>
          <t>ASX</t>
        </is>
      </c>
    </row>
    <row r="967">
      <c r="B967" t="inlineStr">
        <is>
          <t>XAM</t>
        </is>
      </c>
      <c r="C967" t="inlineStr">
        <is>
          <t>Xanadu Mines Ltd</t>
        </is>
      </c>
      <c r="D967" t="inlineStr">
        <is>
          <t>AUD</t>
        </is>
      </c>
      <c r="E967" t="inlineStr">
        <is>
          <t>ASX</t>
        </is>
      </c>
    </row>
    <row r="968">
      <c r="B968" t="inlineStr">
        <is>
          <t>RND</t>
        </is>
      </c>
      <c r="C968" t="inlineStr">
        <is>
          <t>Rand Mining Ltd</t>
        </is>
      </c>
      <c r="D968" t="inlineStr">
        <is>
          <t>AUD</t>
        </is>
      </c>
      <c r="E968" t="inlineStr">
        <is>
          <t>ASX</t>
        </is>
      </c>
    </row>
    <row r="969">
      <c r="B969" t="inlineStr">
        <is>
          <t>GLN</t>
        </is>
      </c>
      <c r="C969" t="inlineStr">
        <is>
          <t>Galan Lithium Ltd</t>
        </is>
      </c>
      <c r="D969" t="inlineStr">
        <is>
          <t>AUD</t>
        </is>
      </c>
      <c r="E969" t="inlineStr">
        <is>
          <t>ASX</t>
        </is>
      </c>
    </row>
    <row r="970">
      <c r="B970" t="inlineStr">
        <is>
          <t>MLG</t>
        </is>
      </c>
      <c r="C970" t="inlineStr">
        <is>
          <t>MLG OZ Ltd</t>
        </is>
      </c>
      <c r="D970" t="inlineStr">
        <is>
          <t>AUD</t>
        </is>
      </c>
      <c r="E970" t="inlineStr">
        <is>
          <t>ASX</t>
        </is>
      </c>
    </row>
    <row r="971">
      <c r="B971" t="inlineStr">
        <is>
          <t>NUGG</t>
        </is>
      </c>
      <c r="C971" t="inlineStr">
        <is>
          <t>Vaneck Gold Bullion ETF</t>
        </is>
      </c>
      <c r="D971" t="inlineStr">
        <is>
          <t>AUD</t>
        </is>
      </c>
      <c r="E971" t="inlineStr">
        <is>
          <t>ASX</t>
        </is>
      </c>
    </row>
    <row r="972">
      <c r="B972" t="inlineStr">
        <is>
          <t>ASM</t>
        </is>
      </c>
      <c r="C972" t="inlineStr">
        <is>
          <t>Australian Strategic Materials Ltd</t>
        </is>
      </c>
      <c r="D972" t="inlineStr">
        <is>
          <t>AUD</t>
        </is>
      </c>
      <c r="E972" t="inlineStr">
        <is>
          <t>ASX</t>
        </is>
      </c>
    </row>
    <row r="973">
      <c r="B973" t="inlineStr">
        <is>
          <t>GHY</t>
        </is>
      </c>
      <c r="C973" t="inlineStr">
        <is>
          <t>Gold Hydrogen Ltd</t>
        </is>
      </c>
      <c r="D973" t="inlineStr">
        <is>
          <t>AUD</t>
        </is>
      </c>
      <c r="E973" t="inlineStr">
        <is>
          <t>ASX</t>
        </is>
      </c>
    </row>
    <row r="974">
      <c r="B974" t="inlineStr">
        <is>
          <t>LNAS</t>
        </is>
      </c>
      <c r="C974" t="inlineStr">
        <is>
          <t>Global X Ultra Long Nasdaq 100 Complex ETF</t>
        </is>
      </c>
      <c r="D974" t="inlineStr">
        <is>
          <t>AUD</t>
        </is>
      </c>
      <c r="E974" t="inlineStr">
        <is>
          <t>ASX</t>
        </is>
      </c>
    </row>
    <row r="975">
      <c r="B975" t="inlineStr">
        <is>
          <t>HGO</t>
        </is>
      </c>
      <c r="C975" t="inlineStr">
        <is>
          <t>Hillgrove Resources Ltd</t>
        </is>
      </c>
      <c r="D975" t="inlineStr">
        <is>
          <t>AUD</t>
        </is>
      </c>
      <c r="E975" t="inlineStr">
        <is>
          <t>ASX</t>
        </is>
      </c>
    </row>
    <row r="976">
      <c r="B976" t="inlineStr">
        <is>
          <t>WRK</t>
        </is>
      </c>
      <c r="C976" t="inlineStr">
        <is>
          <t>WRKR Ltd</t>
        </is>
      </c>
      <c r="D976" t="inlineStr">
        <is>
          <t>AUD</t>
        </is>
      </c>
      <c r="E976" t="inlineStr">
        <is>
          <t>ASX</t>
        </is>
      </c>
    </row>
    <row r="977">
      <c r="B977" t="inlineStr">
        <is>
          <t>LCY</t>
        </is>
      </c>
      <c r="C977" t="inlineStr">
        <is>
          <t>Legacy Iron Ore Ltd</t>
        </is>
      </c>
      <c r="D977" t="inlineStr">
        <is>
          <t>AUD</t>
        </is>
      </c>
      <c r="E977" t="inlineStr">
        <is>
          <t>ASX</t>
        </is>
      </c>
    </row>
    <row r="978">
      <c r="B978" t="inlineStr">
        <is>
          <t>PIQ</t>
        </is>
      </c>
      <c r="C978" t="inlineStr">
        <is>
          <t>Proteomics International Laboratories Ltd</t>
        </is>
      </c>
      <c r="D978" t="inlineStr">
        <is>
          <t>AUD</t>
        </is>
      </c>
      <c r="E978" t="inlineStr">
        <is>
          <t>ASX</t>
        </is>
      </c>
    </row>
    <row r="979">
      <c r="B979" t="inlineStr">
        <is>
          <t>ASN</t>
        </is>
      </c>
      <c r="C979" t="inlineStr">
        <is>
          <t>Anson Resources Ltd</t>
        </is>
      </c>
      <c r="D979" t="inlineStr">
        <is>
          <t>AUD</t>
        </is>
      </c>
      <c r="E979" t="inlineStr">
        <is>
          <t>ASX</t>
        </is>
      </c>
    </row>
    <row r="980">
      <c r="B980" t="inlineStr">
        <is>
          <t>M7T</t>
        </is>
      </c>
      <c r="C980" t="inlineStr">
        <is>
          <t>MACH7 Technologies Ltd</t>
        </is>
      </c>
      <c r="D980" t="inlineStr">
        <is>
          <t>AUD</t>
        </is>
      </c>
      <c r="E980" t="inlineStr">
        <is>
          <t>ASX</t>
        </is>
      </c>
    </row>
    <row r="981">
      <c r="B981" t="inlineStr">
        <is>
          <t>RWL</t>
        </is>
      </c>
      <c r="C981" t="inlineStr">
        <is>
          <t>Rubicon Water Ltd</t>
        </is>
      </c>
      <c r="D981" t="inlineStr">
        <is>
          <t>AUD</t>
        </is>
      </c>
      <c r="E981" t="inlineStr">
        <is>
          <t>ASX</t>
        </is>
      </c>
    </row>
    <row r="982">
      <c r="B982" t="inlineStr">
        <is>
          <t>KKO</t>
        </is>
      </c>
      <c r="C982" t="inlineStr">
        <is>
          <t>Kinetiko Energy Ltd</t>
        </is>
      </c>
      <c r="D982" t="inlineStr">
        <is>
          <t>AUD</t>
        </is>
      </c>
      <c r="E982" t="inlineStr">
        <is>
          <t>ASX</t>
        </is>
      </c>
    </row>
    <row r="983">
      <c r="B983" t="inlineStr">
        <is>
          <t>JDOPA</t>
        </is>
      </c>
      <c r="C983" t="inlineStr">
        <is>
          <t>Judo Capital Holdings Ltd</t>
        </is>
      </c>
      <c r="D983" t="inlineStr">
        <is>
          <t>AUD</t>
        </is>
      </c>
      <c r="E983" t="inlineStr">
        <is>
          <t>ASX</t>
        </is>
      </c>
    </row>
    <row r="984">
      <c r="B984" t="inlineStr">
        <is>
          <t>USL</t>
        </is>
      </c>
      <c r="C984" t="inlineStr">
        <is>
          <t>Unico Silver Ltd</t>
        </is>
      </c>
      <c r="D984" t="inlineStr">
        <is>
          <t>AUD</t>
        </is>
      </c>
      <c r="E984" t="inlineStr">
        <is>
          <t>ASX</t>
        </is>
      </c>
    </row>
    <row r="985">
      <c r="B985" t="inlineStr">
        <is>
          <t>ZEO</t>
        </is>
      </c>
      <c r="C985" t="inlineStr">
        <is>
          <t>Zeotech Ltd</t>
        </is>
      </c>
      <c r="D985" t="inlineStr">
        <is>
          <t>AUD</t>
        </is>
      </c>
      <c r="E985" t="inlineStr">
        <is>
          <t>ASX</t>
        </is>
      </c>
    </row>
    <row r="986">
      <c r="B986" t="inlineStr">
        <is>
          <t>ABY</t>
        </is>
      </c>
      <c r="C986" t="inlineStr">
        <is>
          <t>Adore Beauty Group Ltd</t>
        </is>
      </c>
      <c r="D986" t="inlineStr">
        <is>
          <t>AUD</t>
        </is>
      </c>
      <c r="E986" t="inlineStr">
        <is>
          <t>ASX</t>
        </is>
      </c>
    </row>
    <row r="987">
      <c r="B987" t="inlineStr">
        <is>
          <t>IKE</t>
        </is>
      </c>
      <c r="C987" t="inlineStr">
        <is>
          <t>Ikegps Group Ltd</t>
        </is>
      </c>
      <c r="D987" t="inlineStr">
        <is>
          <t>AUD</t>
        </is>
      </c>
      <c r="E987" t="inlineStr">
        <is>
          <t>ASX</t>
        </is>
      </c>
    </row>
    <row r="988">
      <c r="B988" t="inlineStr">
        <is>
          <t>WVOL</t>
        </is>
      </c>
      <c r="C988" t="inlineStr">
        <is>
          <t>Ishares MSCI World Ex Aust Minimum Volatility ETF</t>
        </is>
      </c>
      <c r="D988" t="inlineStr">
        <is>
          <t>AUD</t>
        </is>
      </c>
      <c r="E988" t="inlineStr">
        <is>
          <t>ASX</t>
        </is>
      </c>
    </row>
    <row r="989">
      <c r="B989" t="inlineStr">
        <is>
          <t>TOT</t>
        </is>
      </c>
      <c r="C989" t="inlineStr">
        <is>
          <t>360 Capital REIT</t>
        </is>
      </c>
      <c r="D989" t="inlineStr">
        <is>
          <t>AUD</t>
        </is>
      </c>
      <c r="E989" t="inlineStr">
        <is>
          <t>ASX</t>
        </is>
      </c>
    </row>
    <row r="990">
      <c r="B990" t="inlineStr">
        <is>
          <t>CEL</t>
        </is>
      </c>
      <c r="C990" t="inlineStr">
        <is>
          <t>Challenger Gold Ltd</t>
        </is>
      </c>
      <c r="D990" t="inlineStr">
        <is>
          <t>AUD</t>
        </is>
      </c>
      <c r="E990" t="inlineStr">
        <is>
          <t>ASX</t>
        </is>
      </c>
    </row>
    <row r="991">
      <c r="B991" t="inlineStr">
        <is>
          <t>AR1</t>
        </is>
      </c>
      <c r="C991" t="inlineStr">
        <is>
          <t>Austral Resources Australia Ltd</t>
        </is>
      </c>
      <c r="D991" t="inlineStr">
        <is>
          <t>AUD</t>
        </is>
      </c>
      <c r="E991" t="inlineStr">
        <is>
          <t>ASX</t>
        </is>
      </c>
    </row>
    <row r="992">
      <c r="B992" t="inlineStr">
        <is>
          <t>EBG</t>
        </is>
      </c>
      <c r="C992" t="inlineStr">
        <is>
          <t>Eumundi Group Ltd</t>
        </is>
      </c>
      <c r="D992" t="inlineStr">
        <is>
          <t>AUD</t>
        </is>
      </c>
      <c r="E992" t="inlineStr">
        <is>
          <t>ASX</t>
        </is>
      </c>
    </row>
    <row r="993">
      <c r="B993" t="inlineStr">
        <is>
          <t>MKAX</t>
        </is>
      </c>
      <c r="C993" t="inlineStr">
        <is>
          <t>Montaka Global Extension Fund (Quoted Managed Hedge Fund)</t>
        </is>
      </c>
      <c r="D993" t="inlineStr">
        <is>
          <t>AUD</t>
        </is>
      </c>
      <c r="E993" t="inlineStr">
        <is>
          <t>ASX</t>
        </is>
      </c>
    </row>
    <row r="994">
      <c r="B994" t="inlineStr">
        <is>
          <t>NWF</t>
        </is>
      </c>
      <c r="C994" t="inlineStr">
        <is>
          <t>Newfield Resources Ltd</t>
        </is>
      </c>
      <c r="D994" t="inlineStr">
        <is>
          <t>AUD</t>
        </is>
      </c>
      <c r="E994" t="inlineStr">
        <is>
          <t>ASX</t>
        </is>
      </c>
    </row>
    <row r="995">
      <c r="B995" t="inlineStr">
        <is>
          <t>LIS</t>
        </is>
      </c>
      <c r="C995" t="inlineStr">
        <is>
          <t>Li-S Energy Ltd</t>
        </is>
      </c>
      <c r="D995" t="inlineStr">
        <is>
          <t>AUD</t>
        </is>
      </c>
      <c r="E995" t="inlineStr">
        <is>
          <t>ASX</t>
        </is>
      </c>
    </row>
    <row r="996">
      <c r="B996" t="inlineStr">
        <is>
          <t>TGN</t>
        </is>
      </c>
      <c r="C996" t="inlineStr">
        <is>
          <t>Tungsten Mining NL</t>
        </is>
      </c>
      <c r="D996" t="inlineStr">
        <is>
          <t>AUD</t>
        </is>
      </c>
      <c r="E996" t="inlineStr">
        <is>
          <t>ASX</t>
        </is>
      </c>
    </row>
    <row r="997">
      <c r="B997" t="inlineStr">
        <is>
          <t>AUMF</t>
        </is>
      </c>
      <c r="C997" t="inlineStr">
        <is>
          <t>Ishares Edge MSCI Australia Multifactor ETF</t>
        </is>
      </c>
      <c r="D997" t="inlineStr">
        <is>
          <t>AUD</t>
        </is>
      </c>
      <c r="E997" t="inlineStr">
        <is>
          <t>ASX</t>
        </is>
      </c>
    </row>
    <row r="998">
      <c r="B998" t="inlineStr">
        <is>
          <t>EUR</t>
        </is>
      </c>
      <c r="C998" t="inlineStr">
        <is>
          <t>European Lithium Ltd</t>
        </is>
      </c>
      <c r="D998" t="inlineStr">
        <is>
          <t>AUD</t>
        </is>
      </c>
      <c r="E998" t="inlineStr">
        <is>
          <t>ASX</t>
        </is>
      </c>
    </row>
    <row r="999">
      <c r="B999" t="inlineStr">
        <is>
          <t>LEND</t>
        </is>
      </c>
      <c r="C999" t="inlineStr">
        <is>
          <t>Vaneck GLBL Listed Private Credit (Aud Hedged) ETF</t>
        </is>
      </c>
      <c r="D999" t="inlineStr">
        <is>
          <t>AUD</t>
        </is>
      </c>
      <c r="E999" t="inlineStr">
        <is>
          <t>ASX</t>
        </is>
      </c>
    </row>
    <row r="1000">
      <c r="B1000" t="inlineStr">
        <is>
          <t>JPEQ</t>
        </is>
      </c>
      <c r="C1000" t="inlineStr">
        <is>
          <t>JPM US100Q EQ Prem Inc Active ETF (Managed Fund)</t>
        </is>
      </c>
      <c r="D1000" t="inlineStr">
        <is>
          <t>AUD</t>
        </is>
      </c>
      <c r="E1000" t="inlineStr">
        <is>
          <t>ASX</t>
        </is>
      </c>
    </row>
    <row r="1001">
      <c r="B1001" t="inlineStr">
        <is>
          <t>USD</t>
        </is>
      </c>
      <c r="C1001" t="inlineStr">
        <is>
          <t>Betashares U.S. Dollar ETF</t>
        </is>
      </c>
      <c r="D1001" t="inlineStr">
        <is>
          <t>AUD</t>
        </is>
      </c>
      <c r="E1001" t="inlineStr">
        <is>
          <t>ASX</t>
        </is>
      </c>
    </row>
    <row r="1002">
      <c r="B1002" t="inlineStr">
        <is>
          <t>MDX</t>
        </is>
      </c>
      <c r="C1002" t="inlineStr">
        <is>
          <t>Mindax Ltd</t>
        </is>
      </c>
      <c r="D1002" t="inlineStr">
        <is>
          <t>AUD</t>
        </is>
      </c>
      <c r="E1002" t="inlineStr">
        <is>
          <t>ASX</t>
        </is>
      </c>
    </row>
    <row r="1003">
      <c r="B1003" t="inlineStr">
        <is>
          <t>PLL</t>
        </is>
      </c>
      <c r="C1003" t="inlineStr">
        <is>
          <t>Piedmont Lithium Inc</t>
        </is>
      </c>
      <c r="D1003" t="inlineStr">
        <is>
          <t>AUD</t>
        </is>
      </c>
      <c r="E1003" t="inlineStr">
        <is>
          <t>ASX</t>
        </is>
      </c>
    </row>
    <row r="1004">
      <c r="B1004" t="inlineStr">
        <is>
          <t>ACW</t>
        </is>
      </c>
      <c r="C1004" t="inlineStr">
        <is>
          <t>Actinogen Medical Ltd</t>
        </is>
      </c>
      <c r="D1004" t="inlineStr">
        <is>
          <t>AUD</t>
        </is>
      </c>
      <c r="E1004" t="inlineStr">
        <is>
          <t>ASX</t>
        </is>
      </c>
    </row>
    <row r="1005">
      <c r="B1005" t="inlineStr">
        <is>
          <t>MNRS</t>
        </is>
      </c>
      <c r="C1005" t="inlineStr">
        <is>
          <t>Betashares Global Gold Miners Currency Hedged ETF</t>
        </is>
      </c>
      <c r="D1005" t="inlineStr">
        <is>
          <t>AUD</t>
        </is>
      </c>
      <c r="E1005" t="inlineStr">
        <is>
          <t>ASX</t>
        </is>
      </c>
    </row>
    <row r="1006">
      <c r="B1006" t="inlineStr">
        <is>
          <t>BMT</t>
        </is>
      </c>
      <c r="C1006" t="inlineStr">
        <is>
          <t>Beamtree Holdings Ltd</t>
        </is>
      </c>
      <c r="D1006" t="inlineStr">
        <is>
          <t>AUD</t>
        </is>
      </c>
      <c r="E1006" t="inlineStr">
        <is>
          <t>ASX</t>
        </is>
      </c>
    </row>
    <row r="1007">
      <c r="B1007" t="inlineStr">
        <is>
          <t>AGN</t>
        </is>
      </c>
      <c r="C1007" t="inlineStr">
        <is>
          <t>Argenica Therapeutics Ltd</t>
        </is>
      </c>
      <c r="D1007" t="inlineStr">
        <is>
          <t>AUD</t>
        </is>
      </c>
      <c r="E1007" t="inlineStr">
        <is>
          <t>ASX</t>
        </is>
      </c>
    </row>
    <row r="1008">
      <c r="B1008" t="inlineStr">
        <is>
          <t>AL3</t>
        </is>
      </c>
      <c r="C1008" t="inlineStr">
        <is>
          <t>AML3D Ltd</t>
        </is>
      </c>
      <c r="D1008" t="inlineStr">
        <is>
          <t>AUD</t>
        </is>
      </c>
      <c r="E1008" t="inlineStr">
        <is>
          <t>ASX</t>
        </is>
      </c>
    </row>
    <row r="1009">
      <c r="B1009" t="inlineStr">
        <is>
          <t>ECH</t>
        </is>
      </c>
      <c r="C1009" t="inlineStr">
        <is>
          <t>Echelon Resources Ltd</t>
        </is>
      </c>
      <c r="D1009" t="inlineStr">
        <is>
          <t>AUD</t>
        </is>
      </c>
      <c r="E1009" t="inlineStr">
        <is>
          <t>ASX</t>
        </is>
      </c>
    </row>
    <row r="1010">
      <c r="B1010" t="inlineStr">
        <is>
          <t>AYA</t>
        </is>
      </c>
      <c r="C1010" t="inlineStr">
        <is>
          <t>ARTRYA Ltd</t>
        </is>
      </c>
      <c r="D1010" t="inlineStr">
        <is>
          <t>AUD</t>
        </is>
      </c>
      <c r="E1010" t="inlineStr">
        <is>
          <t>ASX</t>
        </is>
      </c>
    </row>
    <row r="1011">
      <c r="B1011" t="inlineStr">
        <is>
          <t>RIM</t>
        </is>
      </c>
      <c r="C1011" t="inlineStr">
        <is>
          <t>Rimfire Pacific Mining Ltd</t>
        </is>
      </c>
      <c r="D1011" t="inlineStr">
        <is>
          <t>AUD</t>
        </is>
      </c>
      <c r="E1011" t="inlineStr">
        <is>
          <t>ASX</t>
        </is>
      </c>
    </row>
    <row r="1012">
      <c r="B1012" t="inlineStr">
        <is>
          <t>APW</t>
        </is>
      </c>
      <c r="C1012" t="inlineStr">
        <is>
          <t>Aims Property Securities Fund</t>
        </is>
      </c>
      <c r="D1012" t="inlineStr">
        <is>
          <t>AUD</t>
        </is>
      </c>
      <c r="E1012" t="inlineStr">
        <is>
          <t>ASX</t>
        </is>
      </c>
    </row>
    <row r="1013">
      <c r="B1013" t="inlineStr">
        <is>
          <t>ATG</t>
        </is>
      </c>
      <c r="C1013" t="inlineStr">
        <is>
          <t>Articore Group Ltd</t>
        </is>
      </c>
      <c r="D1013" t="inlineStr">
        <is>
          <t>AUD</t>
        </is>
      </c>
      <c r="E1013" t="inlineStr">
        <is>
          <t>ASX</t>
        </is>
      </c>
    </row>
    <row r="1014">
      <c r="B1014" t="inlineStr">
        <is>
          <t>WLD</t>
        </is>
      </c>
      <c r="C1014" t="inlineStr">
        <is>
          <t>Wellard Ltd</t>
        </is>
      </c>
      <c r="D1014" t="inlineStr">
        <is>
          <t>AUD</t>
        </is>
      </c>
      <c r="E1014" t="inlineStr">
        <is>
          <t>ASX</t>
        </is>
      </c>
    </row>
    <row r="1015">
      <c r="B1015" t="inlineStr">
        <is>
          <t>AESG</t>
        </is>
      </c>
      <c r="C1015" t="inlineStr">
        <is>
          <t>Ishares Global Aggregate Bond Esg (Aud Hedged) ETF</t>
        </is>
      </c>
      <c r="D1015" t="inlineStr">
        <is>
          <t>AUD</t>
        </is>
      </c>
      <c r="E1015" t="inlineStr">
        <is>
          <t>ASX</t>
        </is>
      </c>
    </row>
    <row r="1016">
      <c r="B1016" t="inlineStr">
        <is>
          <t>HIT</t>
        </is>
      </c>
      <c r="C1016" t="inlineStr">
        <is>
          <t>Hitech Group Australia Ltd</t>
        </is>
      </c>
      <c r="D1016" t="inlineStr">
        <is>
          <t>AUD</t>
        </is>
      </c>
      <c r="E1016" t="inlineStr">
        <is>
          <t>ASX</t>
        </is>
      </c>
    </row>
    <row r="1017">
      <c r="B1017" t="inlineStr">
        <is>
          <t>ESPO</t>
        </is>
      </c>
      <c r="C1017" t="inlineStr">
        <is>
          <t>Vaneck Video Gaming and Esports ETF</t>
        </is>
      </c>
      <c r="D1017" t="inlineStr">
        <is>
          <t>AUD</t>
        </is>
      </c>
      <c r="E1017" t="inlineStr">
        <is>
          <t>ASX</t>
        </is>
      </c>
    </row>
    <row r="1018">
      <c r="B1018" t="inlineStr">
        <is>
          <t>SSL</t>
        </is>
      </c>
      <c r="C1018" t="inlineStr">
        <is>
          <t>Sietel Ltd</t>
        </is>
      </c>
      <c r="D1018" t="inlineStr">
        <is>
          <t>AUD</t>
        </is>
      </c>
      <c r="E1018" t="inlineStr">
        <is>
          <t>ASX</t>
        </is>
      </c>
    </row>
    <row r="1019">
      <c r="B1019" t="inlineStr">
        <is>
          <t>SMN</t>
        </is>
      </c>
      <c r="C1019" t="inlineStr">
        <is>
          <t>Structural Monitoring Systems Plc</t>
        </is>
      </c>
      <c r="D1019" t="inlineStr">
        <is>
          <t>AUD</t>
        </is>
      </c>
      <c r="E1019" t="inlineStr">
        <is>
          <t>ASX</t>
        </is>
      </c>
    </row>
    <row r="1020">
      <c r="B1020" t="inlineStr">
        <is>
          <t>BSA</t>
        </is>
      </c>
      <c r="C1020" t="inlineStr">
        <is>
          <t>BSA Ltd</t>
        </is>
      </c>
      <c r="D1020" t="inlineStr">
        <is>
          <t>AUD</t>
        </is>
      </c>
      <c r="E1020" t="inlineStr">
        <is>
          <t>ASX</t>
        </is>
      </c>
    </row>
    <row r="1021">
      <c r="B1021" t="inlineStr">
        <is>
          <t>LSX</t>
        </is>
      </c>
      <c r="C1021" t="inlineStr">
        <is>
          <t>Lion Selection Group Ltd</t>
        </is>
      </c>
      <c r="D1021" t="inlineStr">
        <is>
          <t>AUD</t>
        </is>
      </c>
      <c r="E1021" t="inlineStr">
        <is>
          <t>ASX</t>
        </is>
      </c>
    </row>
    <row r="1022">
      <c r="B1022" t="inlineStr">
        <is>
          <t>MYG</t>
        </is>
      </c>
      <c r="C1022" t="inlineStr">
        <is>
          <t>Mayfield Group Holdings Ltd</t>
        </is>
      </c>
      <c r="D1022" t="inlineStr">
        <is>
          <t>AUD</t>
        </is>
      </c>
      <c r="E1022" t="inlineStr">
        <is>
          <t>ASX</t>
        </is>
      </c>
    </row>
    <row r="1023">
      <c r="B1023" t="inlineStr">
        <is>
          <t>EQR</t>
        </is>
      </c>
      <c r="C1023" t="inlineStr">
        <is>
          <t>EQ Resources Ltd</t>
        </is>
      </c>
      <c r="D1023" t="inlineStr">
        <is>
          <t>AUD</t>
        </is>
      </c>
      <c r="E1023" t="inlineStr">
        <is>
          <t>ASX</t>
        </is>
      </c>
    </row>
    <row r="1024">
      <c r="B1024" t="inlineStr">
        <is>
          <t>MAM</t>
        </is>
      </c>
      <c r="C1024" t="inlineStr">
        <is>
          <t>Microequities Asset Management Group Ltd</t>
        </is>
      </c>
      <c r="D1024" t="inlineStr">
        <is>
          <t>AUD</t>
        </is>
      </c>
      <c r="E1024" t="inlineStr">
        <is>
          <t>ASX</t>
        </is>
      </c>
    </row>
    <row r="1025">
      <c r="B1025" t="inlineStr">
        <is>
          <t>NMG</t>
        </is>
      </c>
      <c r="C1025" t="inlineStr">
        <is>
          <t>New Murchison Gold Ltd</t>
        </is>
      </c>
      <c r="D1025" t="inlineStr">
        <is>
          <t>AUD</t>
        </is>
      </c>
      <c r="E1025" t="inlineStr">
        <is>
          <t>ASX</t>
        </is>
      </c>
    </row>
    <row r="1026">
      <c r="B1026" t="inlineStr">
        <is>
          <t>ZYAU</t>
        </is>
      </c>
      <c r="C1026" t="inlineStr">
        <is>
          <t>Global X S&amp;P/ASX 200 High Dividend ETF</t>
        </is>
      </c>
      <c r="D1026" t="inlineStr">
        <is>
          <t>AUD</t>
        </is>
      </c>
      <c r="E1026" t="inlineStr">
        <is>
          <t>ASX</t>
        </is>
      </c>
    </row>
    <row r="1027">
      <c r="B1027" t="inlineStr">
        <is>
          <t>3DP</t>
        </is>
      </c>
      <c r="C1027" t="inlineStr">
        <is>
          <t>Pointerra Ltd</t>
        </is>
      </c>
      <c r="D1027" t="inlineStr">
        <is>
          <t>AUD</t>
        </is>
      </c>
      <c r="E1027" t="inlineStr">
        <is>
          <t>ASX</t>
        </is>
      </c>
    </row>
    <row r="1028">
      <c r="B1028" t="inlineStr">
        <is>
          <t>BCB</t>
        </is>
      </c>
      <c r="C1028" t="inlineStr">
        <is>
          <t>Bowen Coking Coal Ltd</t>
        </is>
      </c>
      <c r="D1028" t="inlineStr">
        <is>
          <t>AUD</t>
        </is>
      </c>
      <c r="E1028" t="inlineStr">
        <is>
          <t>ASX</t>
        </is>
      </c>
    </row>
    <row r="1029">
      <c r="B1029" t="inlineStr">
        <is>
          <t>ZYUS</t>
        </is>
      </c>
      <c r="C1029" t="inlineStr">
        <is>
          <t>Global X S&amp;P 500 High Yield Low Volatility ETF</t>
        </is>
      </c>
      <c r="D1029" t="inlineStr">
        <is>
          <t>AUD</t>
        </is>
      </c>
      <c r="E1029" t="inlineStr">
        <is>
          <t>ASX</t>
        </is>
      </c>
    </row>
    <row r="1030">
      <c r="B1030" t="inlineStr">
        <is>
          <t>HRN</t>
        </is>
      </c>
      <c r="C1030" t="inlineStr">
        <is>
          <t>Horizon Gold Ltd</t>
        </is>
      </c>
      <c r="D1030" t="inlineStr">
        <is>
          <t>AUD</t>
        </is>
      </c>
      <c r="E1030" t="inlineStr">
        <is>
          <t>ASX</t>
        </is>
      </c>
    </row>
    <row r="1031">
      <c r="B1031" t="inlineStr">
        <is>
          <t>SHM</t>
        </is>
      </c>
      <c r="C1031" t="inlineStr">
        <is>
          <t>Shriro Holdings Ltd</t>
        </is>
      </c>
      <c r="D1031" t="inlineStr">
        <is>
          <t>AUD</t>
        </is>
      </c>
      <c r="E1031" t="inlineStr">
        <is>
          <t>ASX</t>
        </is>
      </c>
    </row>
    <row r="1032">
      <c r="B1032" t="inlineStr">
        <is>
          <t>AHX</t>
        </is>
      </c>
      <c r="C1032" t="inlineStr">
        <is>
          <t>Apiam Animal Health Ltd</t>
        </is>
      </c>
      <c r="D1032" t="inlineStr">
        <is>
          <t>AUD</t>
        </is>
      </c>
      <c r="E1032" t="inlineStr">
        <is>
          <t>ASX</t>
        </is>
      </c>
    </row>
    <row r="1033">
      <c r="B1033" t="inlineStr">
        <is>
          <t>VHM</t>
        </is>
      </c>
      <c r="C1033" t="inlineStr">
        <is>
          <t>VHM Ltd</t>
        </is>
      </c>
      <c r="D1033" t="inlineStr">
        <is>
          <t>AUD</t>
        </is>
      </c>
      <c r="E1033" t="inlineStr">
        <is>
          <t>ASX</t>
        </is>
      </c>
    </row>
    <row r="1034">
      <c r="B1034" t="inlineStr">
        <is>
          <t>FLC</t>
        </is>
      </c>
      <c r="C1034" t="inlineStr">
        <is>
          <t>Fluence Corporation Ltd</t>
        </is>
      </c>
      <c r="D1034" t="inlineStr">
        <is>
          <t>AUD</t>
        </is>
      </c>
      <c r="E1034" t="inlineStr">
        <is>
          <t>ASX</t>
        </is>
      </c>
    </row>
    <row r="1035">
      <c r="B1035" t="inlineStr">
        <is>
          <t>IRI</t>
        </is>
      </c>
      <c r="C1035" t="inlineStr">
        <is>
          <t>Integrated Research Ltd</t>
        </is>
      </c>
      <c r="D1035" t="inlineStr">
        <is>
          <t>AUD</t>
        </is>
      </c>
      <c r="E1035" t="inlineStr">
        <is>
          <t>ASX</t>
        </is>
      </c>
    </row>
    <row r="1036">
      <c r="B1036" t="inlineStr">
        <is>
          <t>FLN</t>
        </is>
      </c>
      <c r="C1036" t="inlineStr">
        <is>
          <t>Freelancer Ltd</t>
        </is>
      </c>
      <c r="D1036" t="inlineStr">
        <is>
          <t>AUD</t>
        </is>
      </c>
      <c r="E1036" t="inlineStr">
        <is>
          <t>ASX</t>
        </is>
      </c>
    </row>
    <row r="1037">
      <c r="B1037" t="inlineStr">
        <is>
          <t>CNB</t>
        </is>
      </c>
      <c r="C1037" t="inlineStr">
        <is>
          <t>Carnaby Resources Ltd</t>
        </is>
      </c>
      <c r="D1037" t="inlineStr">
        <is>
          <t>AUD</t>
        </is>
      </c>
      <c r="E1037" t="inlineStr">
        <is>
          <t>ASX</t>
        </is>
      </c>
    </row>
    <row r="1038">
      <c r="B1038" t="inlineStr">
        <is>
          <t>VEFI</t>
        </is>
      </c>
      <c r="C1038" t="inlineStr">
        <is>
          <t>Vanguard Ethically Conscious GLB Agg Bond INDEX (Hedged) ETF</t>
        </is>
      </c>
      <c r="D1038" t="inlineStr">
        <is>
          <t>AUD</t>
        </is>
      </c>
      <c r="E1038" t="inlineStr">
        <is>
          <t>ASX</t>
        </is>
      </c>
    </row>
    <row r="1039">
      <c r="B1039" t="inlineStr">
        <is>
          <t>INIF</t>
        </is>
      </c>
      <c r="C1039" t="inlineStr">
        <is>
          <t>Intelligent Investor Aus EQ Inc Fund - Active ETF</t>
        </is>
      </c>
      <c r="D1039" t="inlineStr">
        <is>
          <t>AUD</t>
        </is>
      </c>
      <c r="E1039" t="inlineStr">
        <is>
          <t>ASX</t>
        </is>
      </c>
    </row>
    <row r="1040">
      <c r="B1040" t="inlineStr">
        <is>
          <t>AI1</t>
        </is>
      </c>
      <c r="C1040" t="inlineStr">
        <is>
          <t>Adisyn Ltd</t>
        </is>
      </c>
      <c r="D1040" t="inlineStr">
        <is>
          <t>AUD</t>
        </is>
      </c>
      <c r="E1040" t="inlineStr">
        <is>
          <t>ASX</t>
        </is>
      </c>
    </row>
    <row r="1041">
      <c r="B1041" t="inlineStr">
        <is>
          <t>ACQ</t>
        </is>
      </c>
      <c r="C1041" t="inlineStr">
        <is>
          <t>Acorn Capital Investment Fund Ltd</t>
        </is>
      </c>
      <c r="D1041" t="inlineStr">
        <is>
          <t>AUD</t>
        </is>
      </c>
      <c r="E1041" t="inlineStr">
        <is>
          <t>ASX</t>
        </is>
      </c>
    </row>
    <row r="1042">
      <c r="B1042" t="inlineStr">
        <is>
          <t>INES</t>
        </is>
      </c>
      <c r="C1042" t="inlineStr">
        <is>
          <t>Intelligent Investor Eth Share Fund - Active ETF</t>
        </is>
      </c>
      <c r="D1042" t="inlineStr">
        <is>
          <t>AUD</t>
        </is>
      </c>
      <c r="E1042" t="inlineStr">
        <is>
          <t>ASX</t>
        </is>
      </c>
    </row>
    <row r="1043">
      <c r="B1043" t="inlineStr">
        <is>
          <t>PAXX</t>
        </is>
      </c>
      <c r="C1043" t="inlineStr">
        <is>
          <t>Platinum Asia Fund (Quoted Managed Hedge Fund)</t>
        </is>
      </c>
      <c r="D1043" t="inlineStr">
        <is>
          <t>AUD</t>
        </is>
      </c>
      <c r="E1043" t="inlineStr">
        <is>
          <t>ASX</t>
        </is>
      </c>
    </row>
    <row r="1044">
      <c r="B1044" t="inlineStr">
        <is>
          <t>STN</t>
        </is>
      </c>
      <c r="C1044" t="inlineStr">
        <is>
          <t>Saturn Metals Ltd</t>
        </is>
      </c>
      <c r="D1044" t="inlineStr">
        <is>
          <t>AUD</t>
        </is>
      </c>
      <c r="E1044" t="inlineStr">
        <is>
          <t>ASX</t>
        </is>
      </c>
    </row>
    <row r="1045">
      <c r="B1045" t="inlineStr">
        <is>
          <t>CGHE</t>
        </is>
      </c>
      <c r="C1045" t="inlineStr">
        <is>
          <t>Claremont Global Fund (Hedged) (Managed Fund)</t>
        </is>
      </c>
      <c r="D1045" t="inlineStr">
        <is>
          <t>AUD</t>
        </is>
      </c>
      <c r="E1045" t="inlineStr">
        <is>
          <t>ASX</t>
        </is>
      </c>
    </row>
    <row r="1046">
      <c r="B1046" t="inlineStr">
        <is>
          <t>BNKS</t>
        </is>
      </c>
      <c r="C1046" t="inlineStr">
        <is>
          <t>Betashares Global Banks Currency Hedged ETF</t>
        </is>
      </c>
      <c r="D1046" t="inlineStr">
        <is>
          <t>AUD</t>
        </is>
      </c>
      <c r="E1046" t="inlineStr">
        <is>
          <t>ASX</t>
        </is>
      </c>
    </row>
    <row r="1047">
      <c r="B1047" t="inlineStr">
        <is>
          <t>HRZ</t>
        </is>
      </c>
      <c r="C1047" t="inlineStr">
        <is>
          <t>Horizon Minerals Ltd</t>
        </is>
      </c>
      <c r="D1047" t="inlineStr">
        <is>
          <t>AUD</t>
        </is>
      </c>
      <c r="E1047" t="inlineStr">
        <is>
          <t>ASX</t>
        </is>
      </c>
    </row>
    <row r="1048">
      <c r="B1048" t="inlineStr">
        <is>
          <t>AV1</t>
        </is>
      </c>
      <c r="C1048" t="inlineStr">
        <is>
          <t>Adveritas Ltd</t>
        </is>
      </c>
      <c r="D1048" t="inlineStr">
        <is>
          <t>AUD</t>
        </is>
      </c>
      <c r="E1048" t="inlineStr">
        <is>
          <t>ASX</t>
        </is>
      </c>
    </row>
    <row r="1049">
      <c r="B1049" t="inlineStr">
        <is>
          <t>SB2</t>
        </is>
      </c>
      <c r="C1049" t="inlineStr">
        <is>
          <t>Salter Brothers Emerging Companies Ltd</t>
        </is>
      </c>
      <c r="D1049" t="inlineStr">
        <is>
          <t>AUD</t>
        </is>
      </c>
      <c r="E1049" t="inlineStr">
        <is>
          <t>ASX</t>
        </is>
      </c>
    </row>
    <row r="1050">
      <c r="B1050" t="inlineStr">
        <is>
          <t>MSV</t>
        </is>
      </c>
      <c r="C1050" t="inlineStr">
        <is>
          <t>Mitchell Services Ltd</t>
        </is>
      </c>
      <c r="D1050" t="inlineStr">
        <is>
          <t>AUD</t>
        </is>
      </c>
      <c r="E1050" t="inlineStr">
        <is>
          <t>ASX</t>
        </is>
      </c>
    </row>
    <row r="1051">
      <c r="B1051" t="inlineStr">
        <is>
          <t>KYP</t>
        </is>
      </c>
      <c r="C1051" t="inlineStr">
        <is>
          <t>Kinatico Ltd</t>
        </is>
      </c>
      <c r="D1051" t="inlineStr">
        <is>
          <t>AUD</t>
        </is>
      </c>
      <c r="E1051" t="inlineStr">
        <is>
          <t>ASX</t>
        </is>
      </c>
    </row>
    <row r="1052">
      <c r="B1052" t="inlineStr">
        <is>
          <t>HAV</t>
        </is>
      </c>
      <c r="C1052" t="inlineStr">
        <is>
          <t>Havilah Resources Ltd</t>
        </is>
      </c>
      <c r="D1052" t="inlineStr">
        <is>
          <t>AUD</t>
        </is>
      </c>
      <c r="E1052" t="inlineStr">
        <is>
          <t>ASX</t>
        </is>
      </c>
    </row>
    <row r="1053">
      <c r="B1053" t="inlineStr">
        <is>
          <t>BWF</t>
        </is>
      </c>
      <c r="C1053" t="inlineStr">
        <is>
          <t>Blackwall Ltd</t>
        </is>
      </c>
      <c r="D1053" t="inlineStr">
        <is>
          <t>AUD</t>
        </is>
      </c>
      <c r="E1053" t="inlineStr">
        <is>
          <t>ASX</t>
        </is>
      </c>
    </row>
    <row r="1054">
      <c r="B1054" t="inlineStr">
        <is>
          <t>IHEB</t>
        </is>
      </c>
      <c r="C1054" t="inlineStr">
        <is>
          <t>Ishares J.P. Morgan Usd Emerging Markets (Aud Hedged) ETF</t>
        </is>
      </c>
      <c r="D1054" t="inlineStr">
        <is>
          <t>AUD</t>
        </is>
      </c>
      <c r="E1054" t="inlineStr">
        <is>
          <t>ASX</t>
        </is>
      </c>
    </row>
    <row r="1055">
      <c r="B1055" t="inlineStr">
        <is>
          <t>CUE</t>
        </is>
      </c>
      <c r="C1055" t="inlineStr">
        <is>
          <t>CUE Energy Resources Ltd</t>
        </is>
      </c>
      <c r="D1055" t="inlineStr">
        <is>
          <t>AUD</t>
        </is>
      </c>
      <c r="E1055" t="inlineStr">
        <is>
          <t>ASX</t>
        </is>
      </c>
    </row>
    <row r="1056">
      <c r="B1056" t="inlineStr">
        <is>
          <t>LKE</t>
        </is>
      </c>
      <c r="C1056" t="inlineStr">
        <is>
          <t>Lake Resources N.L.</t>
        </is>
      </c>
      <c r="D1056" t="inlineStr">
        <is>
          <t>AUD</t>
        </is>
      </c>
      <c r="E1056" t="inlineStr">
        <is>
          <t>ASX</t>
        </is>
      </c>
    </row>
    <row r="1057">
      <c r="B1057" t="inlineStr">
        <is>
          <t>DME</t>
        </is>
      </c>
      <c r="C1057" t="inlineStr">
        <is>
          <t>Dome Gold Mines Ltd</t>
        </is>
      </c>
      <c r="D1057" t="inlineStr">
        <is>
          <t>AUD</t>
        </is>
      </c>
      <c r="E1057" t="inlineStr">
        <is>
          <t>ASX</t>
        </is>
      </c>
    </row>
    <row r="1058">
      <c r="B1058" t="inlineStr">
        <is>
          <t>VFY</t>
        </is>
      </c>
      <c r="C1058" t="inlineStr">
        <is>
          <t>Vitrafy Life Sciences Ltd</t>
        </is>
      </c>
      <c r="D1058" t="inlineStr">
        <is>
          <t>AUD</t>
        </is>
      </c>
      <c r="E1058" t="inlineStr">
        <is>
          <t>ASX</t>
        </is>
      </c>
    </row>
    <row r="1059">
      <c r="B1059" t="inlineStr">
        <is>
          <t>DSK</t>
        </is>
      </c>
      <c r="C1059" t="inlineStr">
        <is>
          <t>Dusk Group Ltd</t>
        </is>
      </c>
      <c r="D1059" t="inlineStr">
        <is>
          <t>AUD</t>
        </is>
      </c>
      <c r="E1059" t="inlineStr">
        <is>
          <t>ASX</t>
        </is>
      </c>
    </row>
    <row r="1060">
      <c r="B1060" t="inlineStr">
        <is>
          <t>ARL</t>
        </is>
      </c>
      <c r="C1060" t="inlineStr">
        <is>
          <t>Ardea Resources Ltd</t>
        </is>
      </c>
      <c r="D1060" t="inlineStr">
        <is>
          <t>AUD</t>
        </is>
      </c>
      <c r="E1060" t="inlineStr">
        <is>
          <t>ASX</t>
        </is>
      </c>
    </row>
    <row r="1061">
      <c r="B1061" t="inlineStr">
        <is>
          <t>SS1</t>
        </is>
      </c>
      <c r="C1061" t="inlineStr">
        <is>
          <t>Sun Silver Ltd</t>
        </is>
      </c>
      <c r="D1061" t="inlineStr">
        <is>
          <t>AUD</t>
        </is>
      </c>
      <c r="E1061" t="inlineStr">
        <is>
          <t>ASX</t>
        </is>
      </c>
    </row>
    <row r="1062">
      <c r="B1062" t="inlineStr">
        <is>
          <t>LBL</t>
        </is>
      </c>
      <c r="C1062" t="inlineStr">
        <is>
          <t>Laserbond Ltd</t>
        </is>
      </c>
      <c r="D1062" t="inlineStr">
        <is>
          <t>AUD</t>
        </is>
      </c>
      <c r="E1062" t="inlineStr">
        <is>
          <t>ASX</t>
        </is>
      </c>
    </row>
    <row r="1063">
      <c r="B1063" t="inlineStr">
        <is>
          <t>BAOR</t>
        </is>
      </c>
      <c r="C1063" t="inlineStr">
        <is>
          <t>Aoris Int Fund (Class B) (Unhedged) Active ETF</t>
        </is>
      </c>
      <c r="D1063" t="inlineStr">
        <is>
          <t>AUD</t>
        </is>
      </c>
      <c r="E1063" t="inlineStr">
        <is>
          <t>ASX</t>
        </is>
      </c>
    </row>
    <row r="1064">
      <c r="B1064" t="inlineStr">
        <is>
          <t>EVS</t>
        </is>
      </c>
      <c r="C1064" t="inlineStr">
        <is>
          <t>Envirosuite Ltd</t>
        </is>
      </c>
      <c r="D1064" t="inlineStr">
        <is>
          <t>AUD</t>
        </is>
      </c>
      <c r="E1064" t="inlineStr">
        <is>
          <t>ASX</t>
        </is>
      </c>
    </row>
    <row r="1065">
      <c r="B1065" t="inlineStr">
        <is>
          <t>4DS</t>
        </is>
      </c>
      <c r="C1065" t="inlineStr">
        <is>
          <t>4DS Memory Ltd</t>
        </is>
      </c>
      <c r="D1065" t="inlineStr">
        <is>
          <t>AUD</t>
        </is>
      </c>
      <c r="E1065" t="inlineStr">
        <is>
          <t>ASX</t>
        </is>
      </c>
    </row>
    <row r="1066">
      <c r="B1066" t="inlineStr">
        <is>
          <t>FHE</t>
        </is>
      </c>
      <c r="C1066" t="inlineStr">
        <is>
          <t>Frontier Energy Ltd</t>
        </is>
      </c>
      <c r="D1066" t="inlineStr">
        <is>
          <t>AUD</t>
        </is>
      </c>
      <c r="E1066" t="inlineStr">
        <is>
          <t>ASX</t>
        </is>
      </c>
    </row>
    <row r="1067">
      <c r="B1067" t="inlineStr">
        <is>
          <t>DCC</t>
        </is>
      </c>
      <c r="C1067" t="inlineStr">
        <is>
          <t>Digitalx Ltd</t>
        </is>
      </c>
      <c r="D1067" t="inlineStr">
        <is>
          <t>AUD</t>
        </is>
      </c>
      <c r="E1067" t="inlineStr">
        <is>
          <t>ASX</t>
        </is>
      </c>
    </row>
    <row r="1068">
      <c r="B1068" t="inlineStr">
        <is>
          <t>DVDY</t>
        </is>
      </c>
      <c r="C1068" t="inlineStr">
        <is>
          <t>Vaneck Morningstar Australian Moat Income ETF</t>
        </is>
      </c>
      <c r="D1068" t="inlineStr">
        <is>
          <t>AUD</t>
        </is>
      </c>
      <c r="E1068" t="inlineStr">
        <is>
          <t>ASX</t>
        </is>
      </c>
    </row>
    <row r="1069">
      <c r="B1069" t="inlineStr">
        <is>
          <t>B4P</t>
        </is>
      </c>
      <c r="C1069" t="inlineStr">
        <is>
          <t>Beforepay Group Ltd</t>
        </is>
      </c>
      <c r="D1069" t="inlineStr">
        <is>
          <t>AUD</t>
        </is>
      </c>
      <c r="E1069" t="inlineStr">
        <is>
          <t>ASX</t>
        </is>
      </c>
    </row>
    <row r="1070">
      <c r="B1070" t="inlineStr">
        <is>
          <t>NUZ</t>
        </is>
      </c>
      <c r="C1070" t="inlineStr">
        <is>
          <t>Neurizon Therapeutics Ltd</t>
        </is>
      </c>
      <c r="D1070" t="inlineStr">
        <is>
          <t>AUD</t>
        </is>
      </c>
      <c r="E1070" t="inlineStr">
        <is>
          <t>ASX</t>
        </is>
      </c>
    </row>
    <row r="1071">
      <c r="B1071" t="inlineStr">
        <is>
          <t>RZI</t>
        </is>
      </c>
      <c r="C1071" t="inlineStr">
        <is>
          <t>RAIZ Invest Ltd</t>
        </is>
      </c>
      <c r="D1071" t="inlineStr">
        <is>
          <t>AUD</t>
        </is>
      </c>
      <c r="E1071" t="inlineStr">
        <is>
          <t>ASX</t>
        </is>
      </c>
    </row>
    <row r="1072">
      <c r="B1072" t="inlineStr">
        <is>
          <t>MEU</t>
        </is>
      </c>
      <c r="C1072" t="inlineStr">
        <is>
          <t>Marmota Ltd</t>
        </is>
      </c>
      <c r="D1072" t="inlineStr">
        <is>
          <t>AUD</t>
        </is>
      </c>
      <c r="E1072" t="inlineStr">
        <is>
          <t>ASX</t>
        </is>
      </c>
    </row>
    <row r="1073">
      <c r="B1073" t="inlineStr">
        <is>
          <t>RKN</t>
        </is>
      </c>
      <c r="C1073" t="inlineStr">
        <is>
          <t>Reckon Ltd</t>
        </is>
      </c>
      <c r="D1073" t="inlineStr">
        <is>
          <t>AUD</t>
        </is>
      </c>
      <c r="E1073" t="inlineStr">
        <is>
          <t>ASX</t>
        </is>
      </c>
    </row>
    <row r="1074">
      <c r="B1074" t="inlineStr">
        <is>
          <t>WAA</t>
        </is>
      </c>
      <c r="C1074" t="inlineStr">
        <is>
          <t>Wam Active Ltd</t>
        </is>
      </c>
      <c r="D1074" t="inlineStr">
        <is>
          <t>AUD</t>
        </is>
      </c>
      <c r="E1074" t="inlineStr">
        <is>
          <t>ASX</t>
        </is>
      </c>
    </row>
    <row r="1075">
      <c r="B1075" t="inlineStr">
        <is>
          <t>CAF</t>
        </is>
      </c>
      <c r="C1075" t="inlineStr">
        <is>
          <t>Centrepoint Alliance Ltd</t>
        </is>
      </c>
      <c r="D1075" t="inlineStr">
        <is>
          <t>AUD</t>
        </is>
      </c>
      <c r="E1075" t="inlineStr">
        <is>
          <t>ASX</t>
        </is>
      </c>
    </row>
    <row r="1076">
      <c r="B1076" t="inlineStr">
        <is>
          <t>FOOD</t>
        </is>
      </c>
      <c r="C1076" t="inlineStr">
        <is>
          <t>Betashares GLB Agriculture Comp Currency HDGD ETF</t>
        </is>
      </c>
      <c r="D1076" t="inlineStr">
        <is>
          <t>AUD</t>
        </is>
      </c>
      <c r="E1076" t="inlineStr">
        <is>
          <t>ASX</t>
        </is>
      </c>
    </row>
    <row r="1077">
      <c r="B1077" t="inlineStr">
        <is>
          <t>AUE</t>
        </is>
      </c>
      <c r="C1077" t="inlineStr">
        <is>
          <t>Aurum Resources Ltd</t>
        </is>
      </c>
      <c r="D1077" t="inlineStr">
        <is>
          <t>AUD</t>
        </is>
      </c>
      <c r="E1077" t="inlineStr">
        <is>
          <t>ASX</t>
        </is>
      </c>
    </row>
    <row r="1078">
      <c r="B1078" t="inlineStr">
        <is>
          <t>ISLM</t>
        </is>
      </c>
      <c r="C1078" t="inlineStr">
        <is>
          <t>HEJAZ Equities Fund (Managed Fund)</t>
        </is>
      </c>
      <c r="D1078" t="inlineStr">
        <is>
          <t>AUD</t>
        </is>
      </c>
      <c r="E1078" t="inlineStr">
        <is>
          <t>ASX</t>
        </is>
      </c>
    </row>
    <row r="1079">
      <c r="B1079" t="inlineStr">
        <is>
          <t>REX</t>
        </is>
      </c>
      <c r="C1079" t="inlineStr">
        <is>
          <t>Regional Express Holdings Ltd</t>
        </is>
      </c>
      <c r="D1079" t="inlineStr">
        <is>
          <t>AUD</t>
        </is>
      </c>
      <c r="E1079" t="inlineStr">
        <is>
          <t>ASX</t>
        </is>
      </c>
    </row>
    <row r="1080">
      <c r="B1080" t="inlineStr">
        <is>
          <t>WKT</t>
        </is>
      </c>
      <c r="C1080" t="inlineStr">
        <is>
          <t>Walkabout Resources Ltd</t>
        </is>
      </c>
      <c r="D1080" t="inlineStr">
        <is>
          <t>AUD</t>
        </is>
      </c>
      <c r="E1080" t="inlineStr">
        <is>
          <t>ASX</t>
        </is>
      </c>
    </row>
    <row r="1081">
      <c r="B1081" t="inlineStr">
        <is>
          <t>CKA</t>
        </is>
      </c>
      <c r="C1081" t="inlineStr">
        <is>
          <t>Cokal Ltd</t>
        </is>
      </c>
      <c r="D1081" t="inlineStr">
        <is>
          <t>AUD</t>
        </is>
      </c>
      <c r="E1081" t="inlineStr">
        <is>
          <t>ASX</t>
        </is>
      </c>
    </row>
    <row r="1082">
      <c r="B1082" t="inlineStr">
        <is>
          <t>ATP</t>
        </is>
      </c>
      <c r="C1082" t="inlineStr">
        <is>
          <t>Atlas Pearls Ltd</t>
        </is>
      </c>
      <c r="D1082" t="inlineStr">
        <is>
          <t>AUD</t>
        </is>
      </c>
      <c r="E1082" t="inlineStr">
        <is>
          <t>ASX</t>
        </is>
      </c>
    </row>
    <row r="1083">
      <c r="B1083" t="inlineStr">
        <is>
          <t>CLV</t>
        </is>
      </c>
      <c r="C1083" t="inlineStr">
        <is>
          <t>Clover Corporation Ltd</t>
        </is>
      </c>
      <c r="D1083" t="inlineStr">
        <is>
          <t>AUD</t>
        </is>
      </c>
      <c r="E1083" t="inlineStr">
        <is>
          <t>ASX</t>
        </is>
      </c>
    </row>
    <row r="1084">
      <c r="B1084" t="inlineStr">
        <is>
          <t>FML</t>
        </is>
      </c>
      <c r="C1084" t="inlineStr">
        <is>
          <t>Focus Minerals Ltd</t>
        </is>
      </c>
      <c r="D1084" t="inlineStr">
        <is>
          <t>AUD</t>
        </is>
      </c>
      <c r="E1084" t="inlineStr">
        <is>
          <t>ASX</t>
        </is>
      </c>
    </row>
    <row r="1085">
      <c r="B1085" t="inlineStr">
        <is>
          <t>CPV</t>
        </is>
      </c>
      <c r="C1085" t="inlineStr">
        <is>
          <t>Clearvue Technologies Ltd</t>
        </is>
      </c>
      <c r="D1085" t="inlineStr">
        <is>
          <t>AUD</t>
        </is>
      </c>
      <c r="E1085" t="inlineStr">
        <is>
          <t>ASX</t>
        </is>
      </c>
    </row>
    <row r="1086">
      <c r="B1086" t="inlineStr">
        <is>
          <t>RAD</t>
        </is>
      </c>
      <c r="C1086" t="inlineStr">
        <is>
          <t>Radiopharm Theranostics Ltd</t>
        </is>
      </c>
      <c r="D1086" t="inlineStr">
        <is>
          <t>AUD</t>
        </is>
      </c>
      <c r="E1086" t="inlineStr">
        <is>
          <t>ASX</t>
        </is>
      </c>
    </row>
    <row r="1087">
      <c r="B1087" t="inlineStr">
        <is>
          <t>SHG</t>
        </is>
      </c>
      <c r="C1087" t="inlineStr">
        <is>
          <t>Singular Health Group Ltd</t>
        </is>
      </c>
      <c r="D1087" t="inlineStr">
        <is>
          <t>AUD</t>
        </is>
      </c>
      <c r="E1087" t="inlineStr">
        <is>
          <t>ASX</t>
        </is>
      </c>
    </row>
    <row r="1088">
      <c r="B1088" t="inlineStr">
        <is>
          <t>JGH</t>
        </is>
      </c>
      <c r="C1088" t="inlineStr">
        <is>
          <t>Jade Gas Holdings Ltd</t>
        </is>
      </c>
      <c r="D1088" t="inlineStr">
        <is>
          <t>AUD</t>
        </is>
      </c>
      <c r="E1088" t="inlineStr">
        <is>
          <t>ASX</t>
        </is>
      </c>
    </row>
    <row r="1089">
      <c r="B1089" t="inlineStr">
        <is>
          <t>CHL</t>
        </is>
      </c>
      <c r="C1089" t="inlineStr">
        <is>
          <t>Camplify Holdings Ltd</t>
        </is>
      </c>
      <c r="D1089" t="inlineStr">
        <is>
          <t>AUD</t>
        </is>
      </c>
      <c r="E1089" t="inlineStr">
        <is>
          <t>ASX</t>
        </is>
      </c>
    </row>
    <row r="1090">
      <c r="B1090" t="inlineStr">
        <is>
          <t>HYT</t>
        </is>
      </c>
      <c r="C1090" t="inlineStr">
        <is>
          <t>Hyterra Ltd</t>
        </is>
      </c>
      <c r="D1090" t="inlineStr">
        <is>
          <t>AUD</t>
        </is>
      </c>
      <c r="E1090" t="inlineStr">
        <is>
          <t>ASX</t>
        </is>
      </c>
    </row>
    <row r="1091">
      <c r="B1091" t="inlineStr">
        <is>
          <t>MHOT</t>
        </is>
      </c>
      <c r="C1091" t="inlineStr">
        <is>
          <t>Vaneck Morningstar Wide Moat (Aud Hedged) ETF</t>
        </is>
      </c>
      <c r="D1091" t="inlineStr">
        <is>
          <t>AUD</t>
        </is>
      </c>
      <c r="E1091" t="inlineStr">
        <is>
          <t>ASX</t>
        </is>
      </c>
    </row>
    <row r="1092">
      <c r="B1092" t="inlineStr">
        <is>
          <t>FEG</t>
        </is>
      </c>
      <c r="C1092" t="inlineStr">
        <is>
          <t>Far East Gold Ltd</t>
        </is>
      </c>
      <c r="D1092" t="inlineStr">
        <is>
          <t>AUD</t>
        </is>
      </c>
      <c r="E1092" t="inlineStr">
        <is>
          <t>ASX</t>
        </is>
      </c>
    </row>
    <row r="1093">
      <c r="B1093" t="inlineStr">
        <is>
          <t>RSM</t>
        </is>
      </c>
      <c r="C1093" t="inlineStr">
        <is>
          <t>Russell Investments Australian Semi-Government Bond ETF</t>
        </is>
      </c>
      <c r="D1093" t="inlineStr">
        <is>
          <t>AUD</t>
        </is>
      </c>
      <c r="E1093" t="inlineStr">
        <is>
          <t>ASX</t>
        </is>
      </c>
    </row>
    <row r="1094">
      <c r="B1094" t="inlineStr">
        <is>
          <t>EWC</t>
        </is>
      </c>
      <c r="C1094" t="inlineStr">
        <is>
          <t>Energy World Corporation Ltd</t>
        </is>
      </c>
      <c r="D1094" t="inlineStr">
        <is>
          <t>AUD</t>
        </is>
      </c>
      <c r="E1094" t="inlineStr">
        <is>
          <t>ASX</t>
        </is>
      </c>
    </row>
    <row r="1095">
      <c r="B1095" t="inlineStr">
        <is>
          <t>BXN</t>
        </is>
      </c>
      <c r="C1095" t="inlineStr">
        <is>
          <t>Bioxyne Ltd</t>
        </is>
      </c>
      <c r="D1095" t="inlineStr">
        <is>
          <t>AUD</t>
        </is>
      </c>
      <c r="E1095" t="inlineStr">
        <is>
          <t>ASX</t>
        </is>
      </c>
    </row>
    <row r="1096">
      <c r="B1096" t="inlineStr">
        <is>
          <t>EPY</t>
        </is>
      </c>
      <c r="C1096" t="inlineStr">
        <is>
          <t>Earlypay Ltd</t>
        </is>
      </c>
      <c r="D1096" t="inlineStr">
        <is>
          <t>AUD</t>
        </is>
      </c>
      <c r="E1096" t="inlineStr">
        <is>
          <t>ASX</t>
        </is>
      </c>
    </row>
    <row r="1097">
      <c r="B1097" t="inlineStr">
        <is>
          <t>PEX</t>
        </is>
      </c>
      <c r="C1097" t="inlineStr">
        <is>
          <t>Peel Mining Ltd</t>
        </is>
      </c>
      <c r="D1097" t="inlineStr">
        <is>
          <t>AUD</t>
        </is>
      </c>
      <c r="E1097" t="inlineStr">
        <is>
          <t>ASX</t>
        </is>
      </c>
    </row>
    <row r="1098">
      <c r="B1098" t="inlineStr">
        <is>
          <t>NMT</t>
        </is>
      </c>
      <c r="C1098" t="inlineStr">
        <is>
          <t>Neometals Ltd</t>
        </is>
      </c>
      <c r="D1098" t="inlineStr">
        <is>
          <t>AUD</t>
        </is>
      </c>
      <c r="E1098" t="inlineStr">
        <is>
          <t>ASX</t>
        </is>
      </c>
    </row>
    <row r="1099">
      <c r="B1099" t="inlineStr">
        <is>
          <t>BNZ</t>
        </is>
      </c>
      <c r="C1099" t="inlineStr">
        <is>
          <t>BENZ Mining Corp</t>
        </is>
      </c>
      <c r="D1099" t="inlineStr">
        <is>
          <t>AUD</t>
        </is>
      </c>
      <c r="E1099" t="inlineStr">
        <is>
          <t>ASX</t>
        </is>
      </c>
    </row>
    <row r="1100">
      <c r="B1100" t="inlineStr">
        <is>
          <t>KSN</t>
        </is>
      </c>
      <c r="C1100" t="inlineStr">
        <is>
          <t>Kingston Resources Ltd</t>
        </is>
      </c>
      <c r="D1100" t="inlineStr">
        <is>
          <t>AUD</t>
        </is>
      </c>
      <c r="E1100" t="inlineStr">
        <is>
          <t>ASX</t>
        </is>
      </c>
    </row>
    <row r="1101">
      <c r="B1101" t="inlineStr">
        <is>
          <t>SWTZ</t>
        </is>
      </c>
      <c r="C1101" t="inlineStr">
        <is>
          <t>Switzer Dividend Growth Fund (Managed Fund)</t>
        </is>
      </c>
      <c r="D1101" t="inlineStr">
        <is>
          <t>AUD</t>
        </is>
      </c>
      <c r="E1101" t="inlineStr">
        <is>
          <t>ASX</t>
        </is>
      </c>
    </row>
    <row r="1102">
      <c r="B1102" t="inlineStr">
        <is>
          <t>VR1</t>
        </is>
      </c>
      <c r="C1102" t="inlineStr">
        <is>
          <t>Vection Technologies Ltd</t>
        </is>
      </c>
      <c r="D1102" t="inlineStr">
        <is>
          <t>AUD</t>
        </is>
      </c>
      <c r="E1102" t="inlineStr">
        <is>
          <t>ASX</t>
        </is>
      </c>
    </row>
    <row r="1103">
      <c r="B1103" t="inlineStr">
        <is>
          <t>OZF</t>
        </is>
      </c>
      <c r="C1103" t="inlineStr">
        <is>
          <t>SPDR S&amp;P/ASX 200 Financials Ex A-REIT Fund</t>
        </is>
      </c>
      <c r="D1103" t="inlineStr">
        <is>
          <t>AUD</t>
        </is>
      </c>
      <c r="E1103" t="inlineStr">
        <is>
          <t>ASX</t>
        </is>
      </c>
    </row>
    <row r="1104">
      <c r="B1104" t="inlineStr">
        <is>
          <t>SFX</t>
        </is>
      </c>
      <c r="C1104" t="inlineStr">
        <is>
          <t>Sheffield Resources Ltd</t>
        </is>
      </c>
      <c r="D1104" t="inlineStr">
        <is>
          <t>AUD</t>
        </is>
      </c>
      <c r="E1104" t="inlineStr">
        <is>
          <t>ASX</t>
        </is>
      </c>
    </row>
    <row r="1105">
      <c r="B1105" t="inlineStr">
        <is>
          <t>CLE</t>
        </is>
      </c>
      <c r="C1105" t="inlineStr">
        <is>
          <t>Cyclone Metals Ltd</t>
        </is>
      </c>
      <c r="D1105" t="inlineStr">
        <is>
          <t>AUD</t>
        </is>
      </c>
      <c r="E1105" t="inlineStr">
        <is>
          <t>ASX</t>
        </is>
      </c>
    </row>
    <row r="1106">
      <c r="B1106" t="inlineStr">
        <is>
          <t>EGN</t>
        </is>
      </c>
      <c r="C1106" t="inlineStr">
        <is>
          <t>Engenco Ltd</t>
        </is>
      </c>
      <c r="D1106" t="inlineStr">
        <is>
          <t>AUD</t>
        </is>
      </c>
      <c r="E1106" t="inlineStr">
        <is>
          <t>ASX</t>
        </is>
      </c>
    </row>
    <row r="1107">
      <c r="B1107" t="inlineStr">
        <is>
          <t>SEG</t>
        </is>
      </c>
      <c r="C1107" t="inlineStr">
        <is>
          <t>Sports Entertainment Group Ltd</t>
        </is>
      </c>
      <c r="D1107" t="inlineStr">
        <is>
          <t>AUD</t>
        </is>
      </c>
      <c r="E1107" t="inlineStr">
        <is>
          <t>ASX</t>
        </is>
      </c>
    </row>
    <row r="1108">
      <c r="B1108" t="inlineStr">
        <is>
          <t>HAS</t>
        </is>
      </c>
      <c r="C1108" t="inlineStr">
        <is>
          <t>Hastings Technology Metals Ltd</t>
        </is>
      </c>
      <c r="D1108" t="inlineStr">
        <is>
          <t>AUD</t>
        </is>
      </c>
      <c r="E1108" t="inlineStr">
        <is>
          <t>ASX</t>
        </is>
      </c>
    </row>
    <row r="1109">
      <c r="B1109" t="inlineStr">
        <is>
          <t>BGD</t>
        </is>
      </c>
      <c r="C1109" t="inlineStr">
        <is>
          <t>Barton Gold Holdings Ltd</t>
        </is>
      </c>
      <c r="D1109" t="inlineStr">
        <is>
          <t>AUD</t>
        </is>
      </c>
      <c r="E1109" t="inlineStr">
        <is>
          <t>ASX</t>
        </is>
      </c>
    </row>
    <row r="1110">
      <c r="B1110" t="inlineStr">
        <is>
          <t>88E</t>
        </is>
      </c>
      <c r="C1110" t="inlineStr">
        <is>
          <t>88 Energy Ltd</t>
        </is>
      </c>
      <c r="D1110" t="inlineStr">
        <is>
          <t>AUD</t>
        </is>
      </c>
      <c r="E1110" t="inlineStr">
        <is>
          <t>ASX</t>
        </is>
      </c>
    </row>
    <row r="1111">
      <c r="B1111" t="inlineStr">
        <is>
          <t>CMP</t>
        </is>
      </c>
      <c r="C1111" t="inlineStr">
        <is>
          <t>Compumedics Ltd</t>
        </is>
      </c>
      <c r="D1111" t="inlineStr">
        <is>
          <t>AUD</t>
        </is>
      </c>
      <c r="E1111" t="inlineStr">
        <is>
          <t>ASX</t>
        </is>
      </c>
    </row>
    <row r="1112">
      <c r="B1112" t="inlineStr">
        <is>
          <t>VTX</t>
        </is>
      </c>
      <c r="C1112" t="inlineStr">
        <is>
          <t>Vertex Minerals Ltd</t>
        </is>
      </c>
      <c r="D1112" t="inlineStr">
        <is>
          <t>AUD</t>
        </is>
      </c>
      <c r="E1112" t="inlineStr">
        <is>
          <t>ASX</t>
        </is>
      </c>
    </row>
    <row r="1113">
      <c r="B1113" t="inlineStr">
        <is>
          <t>CLNE</t>
        </is>
      </c>
      <c r="C1113" t="inlineStr">
        <is>
          <t>Vaneck Global Clean Energy ETF</t>
        </is>
      </c>
      <c r="D1113" t="inlineStr">
        <is>
          <t>AUD</t>
        </is>
      </c>
      <c r="E1113" t="inlineStr">
        <is>
          <t>ASX</t>
        </is>
      </c>
    </row>
    <row r="1114">
      <c r="B1114" t="inlineStr">
        <is>
          <t>5GOV</t>
        </is>
      </c>
      <c r="C1114" t="inlineStr">
        <is>
          <t>Vaneck 5-10 Year Australian Government Bond ETF</t>
        </is>
      </c>
      <c r="D1114" t="inlineStr">
        <is>
          <t>AUD</t>
        </is>
      </c>
      <c r="E1114" t="inlineStr">
        <is>
          <t>ASX</t>
        </is>
      </c>
    </row>
    <row r="1115">
      <c r="B1115" t="inlineStr">
        <is>
          <t>OEL</t>
        </is>
      </c>
      <c r="C1115" t="inlineStr">
        <is>
          <t>Otto Energy Ltd</t>
        </is>
      </c>
      <c r="D1115" t="inlineStr">
        <is>
          <t>AUD</t>
        </is>
      </c>
      <c r="E1115" t="inlineStr">
        <is>
          <t>ASX</t>
        </is>
      </c>
    </row>
    <row r="1116">
      <c r="B1116" t="inlineStr">
        <is>
          <t>NSC</t>
        </is>
      </c>
      <c r="C1116" t="inlineStr">
        <is>
          <t>Naos Small Cap Opportunities Company Ltd</t>
        </is>
      </c>
      <c r="D1116" t="inlineStr">
        <is>
          <t>AUD</t>
        </is>
      </c>
      <c r="E1116" t="inlineStr">
        <is>
          <t>ASX</t>
        </is>
      </c>
    </row>
    <row r="1117">
      <c r="B1117" t="inlineStr">
        <is>
          <t>E25</t>
        </is>
      </c>
      <c r="C1117" t="inlineStr">
        <is>
          <t>Element 25 Ltd</t>
        </is>
      </c>
      <c r="D1117" t="inlineStr">
        <is>
          <t>AUD</t>
        </is>
      </c>
      <c r="E1117" t="inlineStr">
        <is>
          <t>ASX</t>
        </is>
      </c>
    </row>
    <row r="1118">
      <c r="B1118" t="inlineStr">
        <is>
          <t>MCM</t>
        </is>
      </c>
      <c r="C1118" t="inlineStr">
        <is>
          <t>MC Mining Ltd</t>
        </is>
      </c>
      <c r="D1118" t="inlineStr">
        <is>
          <t>AUD</t>
        </is>
      </c>
      <c r="E1118" t="inlineStr">
        <is>
          <t>ASX</t>
        </is>
      </c>
    </row>
    <row r="1119">
      <c r="B1119" t="inlineStr">
        <is>
          <t>GROW</t>
        </is>
      </c>
      <c r="C1119" t="inlineStr">
        <is>
          <t>Schroder Real Return Active ETF</t>
        </is>
      </c>
      <c r="D1119" t="inlineStr">
        <is>
          <t>AUD</t>
        </is>
      </c>
      <c r="E1119" t="inlineStr">
        <is>
          <t>ASX</t>
        </is>
      </c>
    </row>
    <row r="1120">
      <c r="B1120" t="inlineStr">
        <is>
          <t>AHL</t>
        </is>
      </c>
      <c r="C1120" t="inlineStr">
        <is>
          <t>Adrad Holdings Ltd</t>
        </is>
      </c>
      <c r="D1120" t="inlineStr">
        <is>
          <t>AUD</t>
        </is>
      </c>
      <c r="E1120" t="inlineStr">
        <is>
          <t>ASX</t>
        </is>
      </c>
    </row>
    <row r="1121">
      <c r="B1121" t="inlineStr">
        <is>
          <t>U100</t>
        </is>
      </c>
      <c r="C1121" t="inlineStr">
        <is>
          <t>Global X US 100 ETF</t>
        </is>
      </c>
      <c r="D1121" t="inlineStr">
        <is>
          <t>AUD</t>
        </is>
      </c>
      <c r="E1121" t="inlineStr">
        <is>
          <t>ASX</t>
        </is>
      </c>
    </row>
    <row r="1122">
      <c r="B1122" t="inlineStr">
        <is>
          <t>PEK</t>
        </is>
      </c>
      <c r="C1122" t="inlineStr">
        <is>
          <t>Peak Rare EARTHS Ltd</t>
        </is>
      </c>
      <c r="D1122" t="inlineStr">
        <is>
          <t>AUD</t>
        </is>
      </c>
      <c r="E1122" t="inlineStr">
        <is>
          <t>ASX</t>
        </is>
      </c>
    </row>
    <row r="1123">
      <c r="B1123" t="inlineStr">
        <is>
          <t>EXR</t>
        </is>
      </c>
      <c r="C1123" t="inlineStr">
        <is>
          <t>Elixir Energy Ltd</t>
        </is>
      </c>
      <c r="D1123" t="inlineStr">
        <is>
          <t>AUD</t>
        </is>
      </c>
      <c r="E1123" t="inlineStr">
        <is>
          <t>ASX</t>
        </is>
      </c>
    </row>
    <row r="1124">
      <c r="B1124" t="inlineStr">
        <is>
          <t>TIP</t>
        </is>
      </c>
      <c r="C1124" t="inlineStr">
        <is>
          <t>Teaminvest Private Group Ltd</t>
        </is>
      </c>
      <c r="D1124" t="inlineStr">
        <is>
          <t>AUD</t>
        </is>
      </c>
      <c r="E1124" t="inlineStr">
        <is>
          <t>ASX</t>
        </is>
      </c>
    </row>
    <row r="1125">
      <c r="B1125" t="inlineStr">
        <is>
          <t>ELS</t>
        </is>
      </c>
      <c r="C1125" t="inlineStr">
        <is>
          <t>Elsight Ltd</t>
        </is>
      </c>
      <c r="D1125" t="inlineStr">
        <is>
          <t>AUD</t>
        </is>
      </c>
      <c r="E1125" t="inlineStr">
        <is>
          <t>ASX</t>
        </is>
      </c>
    </row>
    <row r="1126">
      <c r="B1126" t="inlineStr">
        <is>
          <t>RDG</t>
        </is>
      </c>
      <c r="C1126" t="inlineStr">
        <is>
          <t>Resource Development Group Ltd</t>
        </is>
      </c>
      <c r="D1126" t="inlineStr">
        <is>
          <t>AUD</t>
        </is>
      </c>
      <c r="E1126" t="inlineStr">
        <is>
          <t>ASX</t>
        </is>
      </c>
    </row>
    <row r="1127">
      <c r="B1127" t="inlineStr">
        <is>
          <t>IISV</t>
        </is>
      </c>
      <c r="C1127" t="inlineStr">
        <is>
          <t>Intell Investor Select Value SHR Fund - Active ETF</t>
        </is>
      </c>
      <c r="D1127" t="inlineStr">
        <is>
          <t>AUD</t>
        </is>
      </c>
      <c r="E1127" t="inlineStr">
        <is>
          <t>ASX</t>
        </is>
      </c>
    </row>
    <row r="1128">
      <c r="B1128" t="inlineStr">
        <is>
          <t>WRLD</t>
        </is>
      </c>
      <c r="C1128" t="inlineStr">
        <is>
          <t>Betashares Managed Risk Global Share Fund (Managed Fund)</t>
        </is>
      </c>
      <c r="D1128" t="inlineStr">
        <is>
          <t>AUD</t>
        </is>
      </c>
      <c r="E1128" t="inlineStr">
        <is>
          <t>ASX</t>
        </is>
      </c>
    </row>
    <row r="1129">
      <c r="B1129" t="inlineStr">
        <is>
          <t>DBF</t>
        </is>
      </c>
      <c r="C1129" t="inlineStr">
        <is>
          <t>Duxton Farms Ltd</t>
        </is>
      </c>
      <c r="D1129" t="inlineStr">
        <is>
          <t>AUD</t>
        </is>
      </c>
      <c r="E1129" t="inlineStr">
        <is>
          <t>ASX</t>
        </is>
      </c>
    </row>
    <row r="1130">
      <c r="B1130" t="inlineStr">
        <is>
          <t>PSC</t>
        </is>
      </c>
      <c r="C1130" t="inlineStr">
        <is>
          <t>Prospect Resources Ltd</t>
        </is>
      </c>
      <c r="D1130" t="inlineStr">
        <is>
          <t>AUD</t>
        </is>
      </c>
      <c r="E1130" t="inlineStr">
        <is>
          <t>ASX</t>
        </is>
      </c>
    </row>
    <row r="1131">
      <c r="B1131" t="inlineStr">
        <is>
          <t>SWF</t>
        </is>
      </c>
      <c r="C1131" t="inlineStr">
        <is>
          <t>Selfwealth Ltd</t>
        </is>
      </c>
      <c r="D1131" t="inlineStr">
        <is>
          <t>AUD</t>
        </is>
      </c>
      <c r="E1131" t="inlineStr">
        <is>
          <t>ASX</t>
        </is>
      </c>
    </row>
    <row r="1132">
      <c r="B1132" t="inlineStr">
        <is>
          <t>MTH</t>
        </is>
      </c>
      <c r="C1132" t="inlineStr">
        <is>
          <t>Mithril Silver and Gold Ltd</t>
        </is>
      </c>
      <c r="D1132" t="inlineStr">
        <is>
          <t>AUD</t>
        </is>
      </c>
      <c r="E1132" t="inlineStr">
        <is>
          <t>ASX</t>
        </is>
      </c>
    </row>
    <row r="1133">
      <c r="B1133" t="inlineStr">
        <is>
          <t>E200</t>
        </is>
      </c>
      <c r="C1133" t="inlineStr">
        <is>
          <t>SPDR S&amp;P/ASX 200 Esg Fund</t>
        </is>
      </c>
      <c r="D1133" t="inlineStr">
        <is>
          <t>AUD</t>
        </is>
      </c>
      <c r="E1133" t="inlineStr">
        <is>
          <t>ASX</t>
        </is>
      </c>
    </row>
    <row r="1134">
      <c r="B1134" t="inlineStr">
        <is>
          <t>KGL</t>
        </is>
      </c>
      <c r="C1134" t="inlineStr">
        <is>
          <t>KGL Resources Ltd</t>
        </is>
      </c>
      <c r="D1134" t="inlineStr">
        <is>
          <t>AUD</t>
        </is>
      </c>
      <c r="E1134" t="inlineStr">
        <is>
          <t>ASX</t>
        </is>
      </c>
    </row>
    <row r="1135">
      <c r="B1135" t="inlineStr">
        <is>
          <t>FAR</t>
        </is>
      </c>
      <c r="C1135" t="inlineStr">
        <is>
          <t>FAR Ltd</t>
        </is>
      </c>
      <c r="D1135" t="inlineStr">
        <is>
          <t>AUD</t>
        </is>
      </c>
      <c r="E1135" t="inlineStr">
        <is>
          <t>ASX</t>
        </is>
      </c>
    </row>
    <row r="1136">
      <c r="B1136" t="inlineStr">
        <is>
          <t>FSI</t>
        </is>
      </c>
      <c r="C1136" t="inlineStr">
        <is>
          <t>Flagship Investments Ltd</t>
        </is>
      </c>
      <c r="D1136" t="inlineStr">
        <is>
          <t>AUD</t>
        </is>
      </c>
      <c r="E1136" t="inlineStr">
        <is>
          <t>ASX</t>
        </is>
      </c>
    </row>
    <row r="1137">
      <c r="B1137" t="inlineStr">
        <is>
          <t>GPEQ</t>
        </is>
      </c>
      <c r="C1137" t="inlineStr">
        <is>
          <t>Vaneck Global Listed Private Equity ETF</t>
        </is>
      </c>
      <c r="D1137" t="inlineStr">
        <is>
          <t>AUD</t>
        </is>
      </c>
      <c r="E1137" t="inlineStr">
        <is>
          <t>ASX</t>
        </is>
      </c>
    </row>
    <row r="1138">
      <c r="B1138" t="inlineStr">
        <is>
          <t>AZL</t>
        </is>
      </c>
      <c r="C1138" t="inlineStr">
        <is>
          <t>Arizona Lithium Ltd</t>
        </is>
      </c>
      <c r="D1138" t="inlineStr">
        <is>
          <t>AUD</t>
        </is>
      </c>
      <c r="E1138" t="inlineStr">
        <is>
          <t>ASX</t>
        </is>
      </c>
    </row>
    <row r="1139">
      <c r="B1139" t="inlineStr">
        <is>
          <t>PFG</t>
        </is>
      </c>
      <c r="C1139" t="inlineStr">
        <is>
          <t>Prime Financial Group Ltd</t>
        </is>
      </c>
      <c r="D1139" t="inlineStr">
        <is>
          <t>AUD</t>
        </is>
      </c>
      <c r="E1139" t="inlineStr">
        <is>
          <t>ASX</t>
        </is>
      </c>
    </row>
    <row r="1140">
      <c r="B1140" t="inlineStr">
        <is>
          <t>BTXX</t>
        </is>
      </c>
      <c r="C1140" t="inlineStr">
        <is>
          <t>Digitalx Bitcoin ETF</t>
        </is>
      </c>
      <c r="D1140" t="inlineStr">
        <is>
          <t>AUD</t>
        </is>
      </c>
      <c r="E1140" t="inlineStr">
        <is>
          <t>ASX</t>
        </is>
      </c>
    </row>
    <row r="1141">
      <c r="B1141" t="inlineStr">
        <is>
          <t>BOL</t>
        </is>
      </c>
      <c r="C1141" t="inlineStr">
        <is>
          <t>Boom Logistics Ltd</t>
        </is>
      </c>
      <c r="D1141" t="inlineStr">
        <is>
          <t>AUD</t>
        </is>
      </c>
      <c r="E1141" t="inlineStr">
        <is>
          <t>ASX</t>
        </is>
      </c>
    </row>
    <row r="1142">
      <c r="B1142" t="inlineStr">
        <is>
          <t>LSGE</t>
        </is>
      </c>
      <c r="C1142" t="inlineStr">
        <is>
          <t>Loomis Sayles Global Equity Fund - Active ETF</t>
        </is>
      </c>
      <c r="D1142" t="inlineStr">
        <is>
          <t>AUD</t>
        </is>
      </c>
      <c r="E1142" t="inlineStr">
        <is>
          <t>ASX</t>
        </is>
      </c>
    </row>
    <row r="1143">
      <c r="B1143" t="inlineStr">
        <is>
          <t>AQC</t>
        </is>
      </c>
      <c r="C1143" t="inlineStr">
        <is>
          <t>Australian Pacific Coal Ltd</t>
        </is>
      </c>
      <c r="D1143" t="inlineStr">
        <is>
          <t>AUD</t>
        </is>
      </c>
      <c r="E1143" t="inlineStr">
        <is>
          <t>ASX</t>
        </is>
      </c>
    </row>
    <row r="1144">
      <c r="B1144" t="inlineStr">
        <is>
          <t>GL1</t>
        </is>
      </c>
      <c r="C1144" t="inlineStr">
        <is>
          <t>Global Lithium Resources Ltd</t>
        </is>
      </c>
      <c r="D1144" t="inlineStr">
        <is>
          <t>AUD</t>
        </is>
      </c>
      <c r="E1144" t="inlineStr">
        <is>
          <t>ASX</t>
        </is>
      </c>
    </row>
    <row r="1145">
      <c r="B1145" t="inlineStr">
        <is>
          <t>GOVT</t>
        </is>
      </c>
      <c r="C1145" t="inlineStr">
        <is>
          <t>SPDR S&amp;P/ASX Australian Government Bond Fund</t>
        </is>
      </c>
      <c r="D1145" t="inlineStr">
        <is>
          <t>AUD</t>
        </is>
      </c>
      <c r="E1145" t="inlineStr">
        <is>
          <t>ASX</t>
        </is>
      </c>
    </row>
    <row r="1146">
      <c r="B1146" t="inlineStr">
        <is>
          <t>MNB</t>
        </is>
      </c>
      <c r="C1146" t="inlineStr">
        <is>
          <t>Minbos Resources Ltd</t>
        </is>
      </c>
      <c r="D1146" t="inlineStr">
        <is>
          <t>AUD</t>
        </is>
      </c>
      <c r="E1146" t="inlineStr">
        <is>
          <t>ASX</t>
        </is>
      </c>
    </row>
    <row r="1147">
      <c r="B1147" t="inlineStr">
        <is>
          <t>DHOF</t>
        </is>
      </c>
      <c r="C1147" t="inlineStr">
        <is>
          <t>Daintree HYBRID Opportunities Fund (Managed Fund)</t>
        </is>
      </c>
      <c r="D1147" t="inlineStr">
        <is>
          <t>AUD</t>
        </is>
      </c>
      <c r="E1147" t="inlineStr">
        <is>
          <t>ASX</t>
        </is>
      </c>
    </row>
    <row r="1148">
      <c r="B1148" t="inlineStr">
        <is>
          <t>AMN</t>
        </is>
      </c>
      <c r="C1148" t="inlineStr">
        <is>
          <t>Agrimin Ltd</t>
        </is>
      </c>
      <c r="D1148" t="inlineStr">
        <is>
          <t>AUD</t>
        </is>
      </c>
      <c r="E1148" t="inlineStr">
        <is>
          <t>ASX</t>
        </is>
      </c>
    </row>
    <row r="1149">
      <c r="B1149" t="inlineStr">
        <is>
          <t>IIQ</t>
        </is>
      </c>
      <c r="C1149" t="inlineStr">
        <is>
          <t>Inoviq Ltd</t>
        </is>
      </c>
      <c r="D1149" t="inlineStr">
        <is>
          <t>AUD</t>
        </is>
      </c>
      <c r="E1149" t="inlineStr">
        <is>
          <t>ASX</t>
        </is>
      </c>
    </row>
    <row r="1150">
      <c r="B1150" t="inlineStr">
        <is>
          <t>ERM</t>
        </is>
      </c>
      <c r="C1150" t="inlineStr">
        <is>
          <t>Emmerson Resources Ltd</t>
        </is>
      </c>
      <c r="D1150" t="inlineStr">
        <is>
          <t>AUD</t>
        </is>
      </c>
      <c r="E1150" t="inlineStr">
        <is>
          <t>ASX</t>
        </is>
      </c>
    </row>
    <row r="1151">
      <c r="B1151" t="inlineStr">
        <is>
          <t>CDX</t>
        </is>
      </c>
      <c r="C1151" t="inlineStr">
        <is>
          <t>Cardiex Ltd</t>
        </is>
      </c>
      <c r="D1151" t="inlineStr">
        <is>
          <t>AUD</t>
        </is>
      </c>
      <c r="E1151" t="inlineStr">
        <is>
          <t>ASX</t>
        </is>
      </c>
    </row>
    <row r="1152">
      <c r="B1152" t="inlineStr">
        <is>
          <t>NOU</t>
        </is>
      </c>
      <c r="C1152" t="inlineStr">
        <is>
          <t>Noumi Ltd</t>
        </is>
      </c>
      <c r="D1152" t="inlineStr">
        <is>
          <t>AUD</t>
        </is>
      </c>
      <c r="E1152" t="inlineStr">
        <is>
          <t>ASX</t>
        </is>
      </c>
    </row>
    <row r="1153">
      <c r="B1153" t="inlineStr">
        <is>
          <t>AHF</t>
        </is>
      </c>
      <c r="C1153" t="inlineStr">
        <is>
          <t>Australian Dairy Nutritionals Ltd</t>
        </is>
      </c>
      <c r="D1153" t="inlineStr">
        <is>
          <t>AUD</t>
        </is>
      </c>
      <c r="E1153" t="inlineStr">
        <is>
          <t>ASX</t>
        </is>
      </c>
    </row>
    <row r="1154">
      <c r="B1154" t="inlineStr">
        <is>
          <t>MX1</t>
        </is>
      </c>
      <c r="C1154" t="inlineStr">
        <is>
          <t>Micro-X Ltd</t>
        </is>
      </c>
      <c r="D1154" t="inlineStr">
        <is>
          <t>AUD</t>
        </is>
      </c>
      <c r="E1154" t="inlineStr">
        <is>
          <t>ASX</t>
        </is>
      </c>
    </row>
    <row r="1155">
      <c r="B1155" t="inlineStr">
        <is>
          <t>HLTH</t>
        </is>
      </c>
      <c r="C1155" t="inlineStr">
        <is>
          <t>Vaneck Global Healthcare Leaders ETF</t>
        </is>
      </c>
      <c r="D1155" t="inlineStr">
        <is>
          <t>AUD</t>
        </is>
      </c>
      <c r="E1155" t="inlineStr">
        <is>
          <t>ASX</t>
        </is>
      </c>
    </row>
    <row r="1156">
      <c r="B1156" t="inlineStr">
        <is>
          <t>TNC</t>
        </is>
      </c>
      <c r="C1156" t="inlineStr">
        <is>
          <t>True North Copper Ltd</t>
        </is>
      </c>
      <c r="D1156" t="inlineStr">
        <is>
          <t>AUD</t>
        </is>
      </c>
      <c r="E1156" t="inlineStr">
        <is>
          <t>ASX</t>
        </is>
      </c>
    </row>
    <row r="1157">
      <c r="B1157" t="inlineStr">
        <is>
          <t>TEK</t>
        </is>
      </c>
      <c r="C1157" t="inlineStr">
        <is>
          <t>Thorney Technologies Ltd</t>
        </is>
      </c>
      <c r="D1157" t="inlineStr">
        <is>
          <t>AUD</t>
        </is>
      </c>
      <c r="E1157" t="inlineStr">
        <is>
          <t>ASX</t>
        </is>
      </c>
    </row>
    <row r="1158">
      <c r="B1158" t="inlineStr">
        <is>
          <t>SGI</t>
        </is>
      </c>
      <c r="C1158" t="inlineStr">
        <is>
          <t>Stealth Group Holdings Ltd</t>
        </is>
      </c>
      <c r="D1158" t="inlineStr">
        <is>
          <t>AUD</t>
        </is>
      </c>
      <c r="E1158" t="inlineStr">
        <is>
          <t>ASX</t>
        </is>
      </c>
    </row>
    <row r="1159">
      <c r="B1159" t="inlineStr">
        <is>
          <t>AYLD</t>
        </is>
      </c>
      <c r="C1159" t="inlineStr">
        <is>
          <t>Global X S&amp;P/ASX 200 Covered Call ETF</t>
        </is>
      </c>
      <c r="D1159" t="inlineStr">
        <is>
          <t>AUD</t>
        </is>
      </c>
      <c r="E1159" t="inlineStr">
        <is>
          <t>ASX</t>
        </is>
      </c>
    </row>
    <row r="1160">
      <c r="B1160" t="inlineStr">
        <is>
          <t>CLDD</t>
        </is>
      </c>
      <c r="C1160" t="inlineStr">
        <is>
          <t>Betashares Cloud Computing ETF</t>
        </is>
      </c>
      <c r="D1160" t="inlineStr">
        <is>
          <t>AUD</t>
        </is>
      </c>
      <c r="E1160" t="inlineStr">
        <is>
          <t>ASX</t>
        </is>
      </c>
    </row>
    <row r="1161">
      <c r="B1161" t="inlineStr">
        <is>
          <t>IYLD</t>
        </is>
      </c>
      <c r="C1161" t="inlineStr">
        <is>
          <t>Ishares Yield Plus ETF</t>
        </is>
      </c>
      <c r="D1161" t="inlineStr">
        <is>
          <t>AUD</t>
        </is>
      </c>
      <c r="E1161" t="inlineStr">
        <is>
          <t>ASX</t>
        </is>
      </c>
    </row>
    <row r="1162">
      <c r="B1162" t="inlineStr">
        <is>
          <t>CRI</t>
        </is>
      </c>
      <c r="C1162" t="inlineStr">
        <is>
          <t>Critica Ltd</t>
        </is>
      </c>
      <c r="D1162" t="inlineStr">
        <is>
          <t>AUD</t>
        </is>
      </c>
      <c r="E1162" t="inlineStr">
        <is>
          <t>ASX</t>
        </is>
      </c>
    </row>
    <row r="1163">
      <c r="B1163" t="inlineStr">
        <is>
          <t>MYE</t>
        </is>
      </c>
      <c r="C1163" t="inlineStr">
        <is>
          <t>Mastermyne Group Ltd</t>
        </is>
      </c>
      <c r="D1163" t="inlineStr">
        <is>
          <t>AUD</t>
        </is>
      </c>
      <c r="E1163" t="inlineStr">
        <is>
          <t>ASX</t>
        </is>
      </c>
    </row>
    <row r="1164">
      <c r="B1164" t="inlineStr">
        <is>
          <t>CD2</t>
        </is>
      </c>
      <c r="C1164" t="inlineStr">
        <is>
          <t>CD Private Equity Fund Ii</t>
        </is>
      </c>
      <c r="D1164" t="inlineStr">
        <is>
          <t>AUD</t>
        </is>
      </c>
      <c r="E1164" t="inlineStr">
        <is>
          <t>ASX</t>
        </is>
      </c>
    </row>
    <row r="1165">
      <c r="B1165" t="inlineStr">
        <is>
          <t>DGGF</t>
        </is>
      </c>
      <c r="C1165" t="inlineStr">
        <is>
          <t>Betashares Ethical Diversified Growth ETF</t>
        </is>
      </c>
      <c r="D1165" t="inlineStr">
        <is>
          <t>AUD</t>
        </is>
      </c>
      <c r="E1165" t="inlineStr">
        <is>
          <t>ASX</t>
        </is>
      </c>
    </row>
    <row r="1166">
      <c r="B1166" t="inlineStr">
        <is>
          <t>AAL</t>
        </is>
      </c>
      <c r="C1166" t="inlineStr">
        <is>
          <t>Alfabs Australia Ltd</t>
        </is>
      </c>
      <c r="D1166" t="inlineStr">
        <is>
          <t>AUD</t>
        </is>
      </c>
      <c r="E1166" t="inlineStr">
        <is>
          <t>ASX</t>
        </is>
      </c>
    </row>
    <row r="1167">
      <c r="B1167" t="inlineStr">
        <is>
          <t>SIO</t>
        </is>
      </c>
      <c r="C1167" t="inlineStr">
        <is>
          <t>Simonds Group Ltd</t>
        </is>
      </c>
      <c r="D1167" t="inlineStr">
        <is>
          <t>AUD</t>
        </is>
      </c>
      <c r="E1167" t="inlineStr">
        <is>
          <t>ASX</t>
        </is>
      </c>
    </row>
    <row r="1168">
      <c r="B1168" t="inlineStr">
        <is>
          <t>MNS</t>
        </is>
      </c>
      <c r="C1168" t="inlineStr">
        <is>
          <t>Magnis Energy Technologies Ltd</t>
        </is>
      </c>
      <c r="D1168" t="inlineStr">
        <is>
          <t>AUD</t>
        </is>
      </c>
      <c r="E1168" t="inlineStr">
        <is>
          <t>ASX</t>
        </is>
      </c>
    </row>
    <row r="1169">
      <c r="B1169" t="inlineStr">
        <is>
          <t>5GN</t>
        </is>
      </c>
      <c r="C1169" t="inlineStr">
        <is>
          <t>5G Networks Ltd</t>
        </is>
      </c>
      <c r="D1169" t="inlineStr">
        <is>
          <t>AUD</t>
        </is>
      </c>
      <c r="E1169" t="inlineStr">
        <is>
          <t>ASX</t>
        </is>
      </c>
    </row>
    <row r="1170">
      <c r="B1170" t="inlineStr">
        <is>
          <t>MCE</t>
        </is>
      </c>
      <c r="C1170" t="inlineStr">
        <is>
          <t>Matrix Composites &amp; Engineering Ltd</t>
        </is>
      </c>
      <c r="D1170" t="inlineStr">
        <is>
          <t>AUD</t>
        </is>
      </c>
      <c r="E1170" t="inlineStr">
        <is>
          <t>ASX</t>
        </is>
      </c>
    </row>
    <row r="1171">
      <c r="B1171" t="inlineStr">
        <is>
          <t>SEQ</t>
        </is>
      </c>
      <c r="C1171" t="inlineStr">
        <is>
          <t>Sequoia Financial Group Ltd</t>
        </is>
      </c>
      <c r="D1171" t="inlineStr">
        <is>
          <t>AUD</t>
        </is>
      </c>
      <c r="E1171" t="inlineStr">
        <is>
          <t>ASX</t>
        </is>
      </c>
    </row>
    <row r="1172">
      <c r="B1172" t="inlineStr">
        <is>
          <t>BEAR</t>
        </is>
      </c>
      <c r="C1172" t="inlineStr">
        <is>
          <t>Betashares Australian Equities Bear (Hedge Fund)</t>
        </is>
      </c>
      <c r="D1172" t="inlineStr">
        <is>
          <t>AUD</t>
        </is>
      </c>
      <c r="E1172" t="inlineStr">
        <is>
          <t>ASX</t>
        </is>
      </c>
    </row>
    <row r="1173">
      <c r="B1173" t="inlineStr">
        <is>
          <t>ANO</t>
        </is>
      </c>
      <c r="C1173" t="inlineStr">
        <is>
          <t>Advance Zinctek Ltd</t>
        </is>
      </c>
      <c r="D1173" t="inlineStr">
        <is>
          <t>AUD</t>
        </is>
      </c>
      <c r="E1173" t="inlineStr">
        <is>
          <t>ASX</t>
        </is>
      </c>
    </row>
    <row r="1174">
      <c r="B1174" t="inlineStr">
        <is>
          <t>TVL</t>
        </is>
      </c>
      <c r="C1174" t="inlineStr">
        <is>
          <t>Touch Ventures Ltd</t>
        </is>
      </c>
      <c r="D1174" t="inlineStr">
        <is>
          <t>AUD</t>
        </is>
      </c>
      <c r="E1174" t="inlineStr">
        <is>
          <t>ASX</t>
        </is>
      </c>
    </row>
    <row r="1175">
      <c r="B1175" t="inlineStr">
        <is>
          <t>ESR</t>
        </is>
      </c>
      <c r="C1175" t="inlineStr">
        <is>
          <t>Estrella Resources Ltd</t>
        </is>
      </c>
      <c r="D1175" t="inlineStr">
        <is>
          <t>AUD</t>
        </is>
      </c>
      <c r="E1175" t="inlineStr">
        <is>
          <t>ASX</t>
        </is>
      </c>
    </row>
    <row r="1176">
      <c r="B1176" t="inlineStr">
        <is>
          <t>MQDB</t>
        </is>
      </c>
      <c r="C1176" t="inlineStr">
        <is>
          <t>Macquarie Dynamic Bond Active ETF (Managed Fund)</t>
        </is>
      </c>
      <c r="D1176" t="inlineStr">
        <is>
          <t>AUD</t>
        </is>
      </c>
      <c r="E1176" t="inlineStr">
        <is>
          <t>ASX</t>
        </is>
      </c>
    </row>
    <row r="1177">
      <c r="B1177" t="inlineStr">
        <is>
          <t>GXAI</t>
        </is>
      </c>
      <c r="C1177" t="inlineStr">
        <is>
          <t>Global X Artificial Intelligence ETF</t>
        </is>
      </c>
      <c r="D1177" t="inlineStr">
        <is>
          <t>AUD</t>
        </is>
      </c>
      <c r="E1177" t="inlineStr">
        <is>
          <t>ASX</t>
        </is>
      </c>
    </row>
    <row r="1178">
      <c r="B1178" t="inlineStr">
        <is>
          <t>OSM</t>
        </is>
      </c>
      <c r="C1178" t="inlineStr">
        <is>
          <t>Osmond Resources Ltd</t>
        </is>
      </c>
      <c r="D1178" t="inlineStr">
        <is>
          <t>AUD</t>
        </is>
      </c>
      <c r="E1178" t="inlineStr">
        <is>
          <t>ASX</t>
        </is>
      </c>
    </row>
    <row r="1179">
      <c r="B1179" t="inlineStr">
        <is>
          <t>MM8</t>
        </is>
      </c>
      <c r="C1179" t="inlineStr">
        <is>
          <t>Medallion Metals Ltd</t>
        </is>
      </c>
      <c r="D1179" t="inlineStr">
        <is>
          <t>AUD</t>
        </is>
      </c>
      <c r="E1179" t="inlineStr">
        <is>
          <t>ASX</t>
        </is>
      </c>
    </row>
    <row r="1180">
      <c r="B1180" t="inlineStr">
        <is>
          <t>RINC</t>
        </is>
      </c>
      <c r="C1180" t="inlineStr">
        <is>
          <t>Betashares MRTN Currie RL Inc Fund (Managed Fund)</t>
        </is>
      </c>
      <c r="D1180" t="inlineStr">
        <is>
          <t>AUD</t>
        </is>
      </c>
      <c r="E1180" t="inlineStr">
        <is>
          <t>ASX</t>
        </is>
      </c>
    </row>
    <row r="1181">
      <c r="B1181" t="inlineStr">
        <is>
          <t>NTI</t>
        </is>
      </c>
      <c r="C1181" t="inlineStr">
        <is>
          <t>Neurotech International Ltd</t>
        </is>
      </c>
      <c r="D1181" t="inlineStr">
        <is>
          <t>AUD</t>
        </is>
      </c>
      <c r="E1181" t="inlineStr">
        <is>
          <t>ASX</t>
        </is>
      </c>
    </row>
    <row r="1182">
      <c r="B1182" t="inlineStr">
        <is>
          <t>MCP</t>
        </is>
      </c>
      <c r="C1182" t="inlineStr">
        <is>
          <t>Mcpherson's Ltd</t>
        </is>
      </c>
      <c r="D1182" t="inlineStr">
        <is>
          <t>AUD</t>
        </is>
      </c>
      <c r="E1182" t="inlineStr">
        <is>
          <t>ASX</t>
        </is>
      </c>
    </row>
    <row r="1183">
      <c r="B1183" t="inlineStr">
        <is>
          <t>PCK</t>
        </is>
      </c>
      <c r="C1183" t="inlineStr">
        <is>
          <t>Painchek Ltd</t>
        </is>
      </c>
      <c r="D1183" t="inlineStr">
        <is>
          <t>AUD</t>
        </is>
      </c>
      <c r="E1183" t="inlineStr">
        <is>
          <t>ASX</t>
        </is>
      </c>
    </row>
    <row r="1184">
      <c r="B1184" t="inlineStr">
        <is>
          <t>CCA</t>
        </is>
      </c>
      <c r="C1184" t="inlineStr">
        <is>
          <t>Change Financial Ltd</t>
        </is>
      </c>
      <c r="D1184" t="inlineStr">
        <is>
          <t>AUD</t>
        </is>
      </c>
      <c r="E1184" t="inlineStr">
        <is>
          <t>ASX</t>
        </is>
      </c>
    </row>
    <row r="1185">
      <c r="B1185" t="inlineStr">
        <is>
          <t>ADO</t>
        </is>
      </c>
      <c r="C1185" t="inlineStr">
        <is>
          <t>Anteotech Ltd</t>
        </is>
      </c>
      <c r="D1185" t="inlineStr">
        <is>
          <t>AUD</t>
        </is>
      </c>
      <c r="E1185" t="inlineStr">
        <is>
          <t>ASX</t>
        </is>
      </c>
    </row>
    <row r="1186">
      <c r="B1186" t="inlineStr">
        <is>
          <t>IMPQ</t>
        </is>
      </c>
      <c r="C1186" t="inlineStr">
        <is>
          <t>Perennial Better Future Fund (Managed Fund)</t>
        </is>
      </c>
      <c r="D1186" t="inlineStr">
        <is>
          <t>AUD</t>
        </is>
      </c>
      <c r="E1186" t="inlineStr">
        <is>
          <t>ASX</t>
        </is>
      </c>
    </row>
    <row r="1187">
      <c r="B1187" t="inlineStr">
        <is>
          <t>PRL</t>
        </is>
      </c>
      <c r="C1187" t="inlineStr">
        <is>
          <t>Province Resources Ltd</t>
        </is>
      </c>
      <c r="D1187" t="inlineStr">
        <is>
          <t>AUD</t>
        </is>
      </c>
      <c r="E1187" t="inlineStr">
        <is>
          <t>ASX</t>
        </is>
      </c>
    </row>
    <row r="1188">
      <c r="B1188" t="inlineStr">
        <is>
          <t>CYP</t>
        </is>
      </c>
      <c r="C1188" t="inlineStr">
        <is>
          <t>Cynata Therapeutics Ltd</t>
        </is>
      </c>
      <c r="D1188" t="inlineStr">
        <is>
          <t>AUD</t>
        </is>
      </c>
      <c r="E1188" t="inlineStr">
        <is>
          <t>ASX</t>
        </is>
      </c>
    </row>
    <row r="1189">
      <c r="B1189" t="inlineStr">
        <is>
          <t>MMA</t>
        </is>
      </c>
      <c r="C1189" t="inlineStr">
        <is>
          <t>Maronan Metals Ltd</t>
        </is>
      </c>
      <c r="D1189" t="inlineStr">
        <is>
          <t>AUD</t>
        </is>
      </c>
      <c r="E1189" t="inlineStr">
        <is>
          <t>ASX</t>
        </is>
      </c>
    </row>
    <row r="1190">
      <c r="B1190" t="inlineStr">
        <is>
          <t>NWC</t>
        </is>
      </c>
      <c r="C1190" t="inlineStr">
        <is>
          <t>New World Resources Ltd</t>
        </is>
      </c>
      <c r="D1190" t="inlineStr">
        <is>
          <t>AUD</t>
        </is>
      </c>
      <c r="E1190" t="inlineStr">
        <is>
          <t>ASX</t>
        </is>
      </c>
    </row>
    <row r="1191">
      <c r="B1191" t="inlineStr">
        <is>
          <t>IBC</t>
        </is>
      </c>
      <c r="C1191" t="inlineStr">
        <is>
          <t>Ironbark Capital Ltd</t>
        </is>
      </c>
      <c r="D1191" t="inlineStr">
        <is>
          <t>AUD</t>
        </is>
      </c>
      <c r="E1191" t="inlineStr">
        <is>
          <t>ASX</t>
        </is>
      </c>
    </row>
    <row r="1192">
      <c r="B1192" t="inlineStr">
        <is>
          <t>PHX</t>
        </is>
      </c>
      <c r="C1192" t="inlineStr">
        <is>
          <t>Pharmx Technologies Ltd</t>
        </is>
      </c>
      <c r="D1192" t="inlineStr">
        <is>
          <t>AUD</t>
        </is>
      </c>
      <c r="E1192" t="inlineStr">
        <is>
          <t>ASX</t>
        </is>
      </c>
    </row>
    <row r="1193">
      <c r="B1193" t="inlineStr">
        <is>
          <t>JREG</t>
        </is>
      </c>
      <c r="C1193" t="inlineStr">
        <is>
          <t>Jpmorgan GL Res En in EQ Active ETF (Managed Fund)</t>
        </is>
      </c>
      <c r="D1193" t="inlineStr">
        <is>
          <t>AUD</t>
        </is>
      </c>
      <c r="E1193" t="inlineStr">
        <is>
          <t>ASX</t>
        </is>
      </c>
    </row>
    <row r="1194">
      <c r="B1194" t="inlineStr">
        <is>
          <t>DTZ</t>
        </is>
      </c>
      <c r="C1194" t="inlineStr">
        <is>
          <t>DOTZ Nano Ltd</t>
        </is>
      </c>
      <c r="D1194" t="inlineStr">
        <is>
          <t>AUD</t>
        </is>
      </c>
      <c r="E1194" t="inlineStr">
        <is>
          <t>ASX</t>
        </is>
      </c>
    </row>
    <row r="1195">
      <c r="B1195" t="inlineStr">
        <is>
          <t>GOAT</t>
        </is>
      </c>
      <c r="C1195" t="inlineStr">
        <is>
          <t>Vaneck Morningstar International Wide Moat ETF</t>
        </is>
      </c>
      <c r="D1195" t="inlineStr">
        <is>
          <t>AUD</t>
        </is>
      </c>
      <c r="E1195" t="inlineStr">
        <is>
          <t>ASX</t>
        </is>
      </c>
    </row>
    <row r="1196">
      <c r="B1196" t="inlineStr">
        <is>
          <t>ARN</t>
        </is>
      </c>
      <c r="C1196" t="inlineStr">
        <is>
          <t>Aldoro Resources Ltd</t>
        </is>
      </c>
      <c r="D1196" t="inlineStr">
        <is>
          <t>AUD</t>
        </is>
      </c>
      <c r="E1196" t="inlineStr">
        <is>
          <t>ASX</t>
        </is>
      </c>
    </row>
    <row r="1197">
      <c r="B1197" t="inlineStr">
        <is>
          <t>AWJ</t>
        </is>
      </c>
      <c r="C1197" t="inlineStr">
        <is>
          <t>Auric Mining Ltd</t>
        </is>
      </c>
      <c r="D1197" t="inlineStr">
        <is>
          <t>AUD</t>
        </is>
      </c>
      <c r="E1197" t="inlineStr">
        <is>
          <t>ASX</t>
        </is>
      </c>
    </row>
    <row r="1198">
      <c r="B1198" t="inlineStr">
        <is>
          <t>ATOM</t>
        </is>
      </c>
      <c r="C1198" t="inlineStr">
        <is>
          <t>Global X Uranium ETF</t>
        </is>
      </c>
      <c r="D1198" t="inlineStr">
        <is>
          <t>AUD</t>
        </is>
      </c>
      <c r="E1198" t="inlineStr">
        <is>
          <t>ASX</t>
        </is>
      </c>
    </row>
    <row r="1199">
      <c r="B1199" t="inlineStr">
        <is>
          <t>MVP</t>
        </is>
      </c>
      <c r="C1199" t="inlineStr">
        <is>
          <t>Medical Developments International Ltd</t>
        </is>
      </c>
      <c r="D1199" t="inlineStr">
        <is>
          <t>AUD</t>
        </is>
      </c>
      <c r="E1199" t="inlineStr">
        <is>
          <t>ASX</t>
        </is>
      </c>
    </row>
    <row r="1200">
      <c r="B1200" t="inlineStr">
        <is>
          <t>PTX</t>
        </is>
      </c>
      <c r="C1200" t="inlineStr">
        <is>
          <t>Prescient Therapeutics Ltd</t>
        </is>
      </c>
      <c r="D1200" t="inlineStr">
        <is>
          <t>AUD</t>
        </is>
      </c>
      <c r="E1200" t="inlineStr">
        <is>
          <t>ASX</t>
        </is>
      </c>
    </row>
    <row r="1201">
      <c r="B1201" t="inlineStr">
        <is>
          <t>VIT</t>
        </is>
      </c>
      <c r="C1201" t="inlineStr">
        <is>
          <t>Vitura Health Ltd</t>
        </is>
      </c>
      <c r="D1201" t="inlineStr">
        <is>
          <t>AUD</t>
        </is>
      </c>
      <c r="E1201" t="inlineStr">
        <is>
          <t>ASX</t>
        </is>
      </c>
    </row>
    <row r="1202">
      <c r="B1202" t="inlineStr">
        <is>
          <t>HEUR</t>
        </is>
      </c>
      <c r="C1202" t="inlineStr">
        <is>
          <t>Betashares Europe Currency Hedged ETF</t>
        </is>
      </c>
      <c r="D1202" t="inlineStr">
        <is>
          <t>AUD</t>
        </is>
      </c>
      <c r="E1202" t="inlineStr">
        <is>
          <t>ASX</t>
        </is>
      </c>
    </row>
    <row r="1203">
      <c r="B1203" t="inlineStr">
        <is>
          <t>PVE</t>
        </is>
      </c>
      <c r="C1203" t="inlineStr">
        <is>
          <t>Po Valley Energy Ltd</t>
        </is>
      </c>
      <c r="D1203" t="inlineStr">
        <is>
          <t>AUD</t>
        </is>
      </c>
      <c r="E1203" t="inlineStr">
        <is>
          <t>ASX</t>
        </is>
      </c>
    </row>
    <row r="1204">
      <c r="B1204" t="inlineStr">
        <is>
          <t>CYM</t>
        </is>
      </c>
      <c r="C1204" t="inlineStr">
        <is>
          <t>Cyprium Metals Ltd</t>
        </is>
      </c>
      <c r="D1204" t="inlineStr">
        <is>
          <t>AUD</t>
        </is>
      </c>
      <c r="E1204" t="inlineStr">
        <is>
          <t>ASX</t>
        </is>
      </c>
    </row>
    <row r="1205">
      <c r="B1205" t="inlineStr">
        <is>
          <t>SPX</t>
        </is>
      </c>
      <c r="C1205" t="inlineStr">
        <is>
          <t>Spenda Ltd</t>
        </is>
      </c>
      <c r="D1205" t="inlineStr">
        <is>
          <t>AUD</t>
        </is>
      </c>
      <c r="E1205" t="inlineStr">
        <is>
          <t>ASX</t>
        </is>
      </c>
    </row>
    <row r="1206">
      <c r="B1206" t="inlineStr">
        <is>
          <t>M4M</t>
        </is>
      </c>
      <c r="C1206" t="inlineStr">
        <is>
          <t>Macro Metals Ltd</t>
        </is>
      </c>
      <c r="D1206" t="inlineStr">
        <is>
          <t>AUD</t>
        </is>
      </c>
      <c r="E1206" t="inlineStr">
        <is>
          <t>ASX</t>
        </is>
      </c>
    </row>
    <row r="1207">
      <c r="B1207" t="inlineStr">
        <is>
          <t>SSR</t>
        </is>
      </c>
      <c r="C1207" t="inlineStr">
        <is>
          <t>SSR Mining Inc</t>
        </is>
      </c>
      <c r="D1207" t="inlineStr">
        <is>
          <t>AUD</t>
        </is>
      </c>
      <c r="E1207" t="inlineStr">
        <is>
          <t>ASX</t>
        </is>
      </c>
    </row>
    <row r="1208">
      <c r="B1208" t="inlineStr">
        <is>
          <t>BVR</t>
        </is>
      </c>
      <c r="C1208" t="inlineStr">
        <is>
          <t>Bellavista Resources Ltd</t>
        </is>
      </c>
      <c r="D1208" t="inlineStr">
        <is>
          <t>AUD</t>
        </is>
      </c>
      <c r="E1208" t="inlineStr">
        <is>
          <t>ASX</t>
        </is>
      </c>
    </row>
    <row r="1209">
      <c r="B1209" t="inlineStr">
        <is>
          <t>WA8</t>
        </is>
      </c>
      <c r="C1209" t="inlineStr">
        <is>
          <t>Warriedar Resources Ltd</t>
        </is>
      </c>
      <c r="D1209" t="inlineStr">
        <is>
          <t>AUD</t>
        </is>
      </c>
      <c r="E1209" t="inlineStr">
        <is>
          <t>ASX</t>
        </is>
      </c>
    </row>
    <row r="1210">
      <c r="B1210" t="inlineStr">
        <is>
          <t>LRT</t>
        </is>
      </c>
      <c r="C1210" t="inlineStr">
        <is>
          <t>Lowell Resources Fund</t>
        </is>
      </c>
      <c r="D1210" t="inlineStr">
        <is>
          <t>AUD</t>
        </is>
      </c>
      <c r="E1210" t="inlineStr">
        <is>
          <t>ASX</t>
        </is>
      </c>
    </row>
    <row r="1211">
      <c r="B1211" t="inlineStr">
        <is>
          <t>SPD</t>
        </is>
      </c>
      <c r="C1211" t="inlineStr">
        <is>
          <t>Southern Palladium Ltd</t>
        </is>
      </c>
      <c r="D1211" t="inlineStr">
        <is>
          <t>AUD</t>
        </is>
      </c>
      <c r="E1211" t="inlineStr">
        <is>
          <t>ASX</t>
        </is>
      </c>
    </row>
    <row r="1212">
      <c r="B1212" t="inlineStr">
        <is>
          <t>TYP</t>
        </is>
      </c>
      <c r="C1212" t="inlineStr">
        <is>
          <t>Tryptamine Therapeutics Ltd</t>
        </is>
      </c>
      <c r="D1212" t="inlineStr">
        <is>
          <t>AUD</t>
        </is>
      </c>
      <c r="E1212" t="inlineStr">
        <is>
          <t>ASX</t>
        </is>
      </c>
    </row>
    <row r="1213">
      <c r="B1213" t="inlineStr">
        <is>
          <t>BRK</t>
        </is>
      </c>
      <c r="C1213" t="inlineStr">
        <is>
          <t>Brookside Energy Ltd</t>
        </is>
      </c>
      <c r="D1213" t="inlineStr">
        <is>
          <t>AUD</t>
        </is>
      </c>
      <c r="E1213" t="inlineStr">
        <is>
          <t>ASX</t>
        </is>
      </c>
    </row>
    <row r="1214">
      <c r="B1214" t="inlineStr">
        <is>
          <t>EDC</t>
        </is>
      </c>
      <c r="C1214" t="inlineStr">
        <is>
          <t>Eildon Capital Group</t>
        </is>
      </c>
      <c r="D1214" t="inlineStr">
        <is>
          <t>AUD</t>
        </is>
      </c>
      <c r="E1214" t="inlineStr">
        <is>
          <t>ASX</t>
        </is>
      </c>
    </row>
    <row r="1215">
      <c r="B1215" t="inlineStr">
        <is>
          <t>LM8</t>
        </is>
      </c>
      <c r="C1215" t="inlineStr">
        <is>
          <t>Lunnon Metals Ltd</t>
        </is>
      </c>
      <c r="D1215" t="inlineStr">
        <is>
          <t>AUD</t>
        </is>
      </c>
      <c r="E1215" t="inlineStr">
        <is>
          <t>ASX</t>
        </is>
      </c>
    </row>
    <row r="1216">
      <c r="B1216" t="inlineStr">
        <is>
          <t>IDT</t>
        </is>
      </c>
      <c r="C1216" t="inlineStr">
        <is>
          <t>IDT Australia Ltd</t>
        </is>
      </c>
      <c r="D1216" t="inlineStr">
        <is>
          <t>AUD</t>
        </is>
      </c>
      <c r="E1216" t="inlineStr">
        <is>
          <t>ASX</t>
        </is>
      </c>
    </row>
    <row r="1217">
      <c r="B1217" t="inlineStr">
        <is>
          <t>HMY</t>
        </is>
      </c>
      <c r="C1217" t="inlineStr">
        <is>
          <t>Harmoney Corp Ltd</t>
        </is>
      </c>
      <c r="D1217" t="inlineStr">
        <is>
          <t>AUD</t>
        </is>
      </c>
      <c r="E1217" t="inlineStr">
        <is>
          <t>ASX</t>
        </is>
      </c>
    </row>
    <row r="1218">
      <c r="B1218" t="inlineStr">
        <is>
          <t>CTP</t>
        </is>
      </c>
      <c r="C1218" t="inlineStr">
        <is>
          <t>Central Petroleum Ltd</t>
        </is>
      </c>
      <c r="D1218" t="inlineStr">
        <is>
          <t>AUD</t>
        </is>
      </c>
      <c r="E1218" t="inlineStr">
        <is>
          <t>ASX</t>
        </is>
      </c>
    </row>
    <row r="1219">
      <c r="B1219" t="inlineStr">
        <is>
          <t>SEN</t>
        </is>
      </c>
      <c r="C1219" t="inlineStr">
        <is>
          <t>Senetas Corporation Ltd</t>
        </is>
      </c>
      <c r="D1219" t="inlineStr">
        <is>
          <t>AUD</t>
        </is>
      </c>
      <c r="E1219" t="inlineStr">
        <is>
          <t>ASX</t>
        </is>
      </c>
    </row>
    <row r="1220">
      <c r="B1220" t="inlineStr">
        <is>
          <t>FFI</t>
        </is>
      </c>
      <c r="C1220" t="inlineStr">
        <is>
          <t>FFI Holdings Ltd</t>
        </is>
      </c>
      <c r="D1220" t="inlineStr">
        <is>
          <t>AUD</t>
        </is>
      </c>
      <c r="E1220" t="inlineStr">
        <is>
          <t>ASX</t>
        </is>
      </c>
    </row>
    <row r="1221">
      <c r="B1221" t="inlineStr">
        <is>
          <t>WZR</t>
        </is>
      </c>
      <c r="C1221" t="inlineStr">
        <is>
          <t>Wisr Ltd</t>
        </is>
      </c>
      <c r="D1221" t="inlineStr">
        <is>
          <t>AUD</t>
        </is>
      </c>
      <c r="E1221" t="inlineStr">
        <is>
          <t>ASX</t>
        </is>
      </c>
    </row>
    <row r="1222">
      <c r="B1222" t="inlineStr">
        <is>
          <t>IR1</t>
        </is>
      </c>
      <c r="C1222" t="inlineStr">
        <is>
          <t>Iris Metals Ltd</t>
        </is>
      </c>
      <c r="D1222" t="inlineStr">
        <is>
          <t>AUD</t>
        </is>
      </c>
      <c r="E1222" t="inlineStr">
        <is>
          <t>ASX</t>
        </is>
      </c>
    </row>
    <row r="1223">
      <c r="B1223" t="inlineStr">
        <is>
          <t>G1A</t>
        </is>
      </c>
      <c r="C1223" t="inlineStr">
        <is>
          <t>Galena Mining Ltd</t>
        </is>
      </c>
      <c r="D1223" t="inlineStr">
        <is>
          <t>AUD</t>
        </is>
      </c>
      <c r="E1223" t="inlineStr">
        <is>
          <t>ASX</t>
        </is>
      </c>
    </row>
    <row r="1224">
      <c r="B1224" t="inlineStr">
        <is>
          <t>AIQ</t>
        </is>
      </c>
      <c r="C1224" t="inlineStr">
        <is>
          <t>Alternative Investment Trust</t>
        </is>
      </c>
      <c r="D1224" t="inlineStr">
        <is>
          <t>AUD</t>
        </is>
      </c>
      <c r="E1224" t="inlineStr">
        <is>
          <t>ASX</t>
        </is>
      </c>
    </row>
    <row r="1225">
      <c r="B1225" t="inlineStr">
        <is>
          <t>CCX</t>
        </is>
      </c>
      <c r="C1225" t="inlineStr">
        <is>
          <t>City Chic Collective Ltd</t>
        </is>
      </c>
      <c r="D1225" t="inlineStr">
        <is>
          <t>AUD</t>
        </is>
      </c>
      <c r="E1225" t="inlineStr">
        <is>
          <t>ASX</t>
        </is>
      </c>
    </row>
    <row r="1226">
      <c r="B1226" t="inlineStr">
        <is>
          <t>JAN</t>
        </is>
      </c>
      <c r="C1226" t="inlineStr">
        <is>
          <t>Janison Education Group Ltd</t>
        </is>
      </c>
      <c r="D1226" t="inlineStr">
        <is>
          <t>AUD</t>
        </is>
      </c>
      <c r="E1226" t="inlineStr">
        <is>
          <t>ASX</t>
        </is>
      </c>
    </row>
    <row r="1227">
      <c r="B1227" t="inlineStr">
        <is>
          <t>BLG</t>
        </is>
      </c>
      <c r="C1227" t="inlineStr">
        <is>
          <t>Bluglass Ltd</t>
        </is>
      </c>
      <c r="D1227" t="inlineStr">
        <is>
          <t>AUD</t>
        </is>
      </c>
      <c r="E1227" t="inlineStr">
        <is>
          <t>ASX</t>
        </is>
      </c>
    </row>
    <row r="1228">
      <c r="B1228" t="inlineStr">
        <is>
          <t>SPL</t>
        </is>
      </c>
      <c r="C1228" t="inlineStr">
        <is>
          <t>Starpharma Holdings Ltd</t>
        </is>
      </c>
      <c r="D1228" t="inlineStr">
        <is>
          <t>AUD</t>
        </is>
      </c>
      <c r="E1228" t="inlineStr">
        <is>
          <t>ASX</t>
        </is>
      </c>
    </row>
    <row r="1229">
      <c r="B1229" t="inlineStr">
        <is>
          <t>BCOM</t>
        </is>
      </c>
      <c r="C1229" t="inlineStr">
        <is>
          <t>Global X Bloomberg Commodity Complex ETF</t>
        </is>
      </c>
      <c r="D1229" t="inlineStr">
        <is>
          <t>AUD</t>
        </is>
      </c>
      <c r="E1229" t="inlineStr">
        <is>
          <t>ASX</t>
        </is>
      </c>
    </row>
    <row r="1230">
      <c r="B1230" t="inlineStr">
        <is>
          <t>MKT</t>
        </is>
      </c>
      <c r="C1230" t="inlineStr">
        <is>
          <t>The Market Ltd</t>
        </is>
      </c>
      <c r="D1230" t="inlineStr">
        <is>
          <t>AUD</t>
        </is>
      </c>
      <c r="E1230" t="inlineStr">
        <is>
          <t>ASX</t>
        </is>
      </c>
    </row>
    <row r="1231">
      <c r="B1231" t="inlineStr">
        <is>
          <t>BKT</t>
        </is>
      </c>
      <c r="C1231" t="inlineStr">
        <is>
          <t>Black Rock Mining Ltd</t>
        </is>
      </c>
      <c r="D1231" t="inlineStr">
        <is>
          <t>AUD</t>
        </is>
      </c>
      <c r="E1231" t="inlineStr">
        <is>
          <t>ASX</t>
        </is>
      </c>
    </row>
    <row r="1232">
      <c r="B1232" t="inlineStr">
        <is>
          <t>RDM</t>
        </is>
      </c>
      <c r="C1232" t="inlineStr">
        <is>
          <t>Red Metal Ltd</t>
        </is>
      </c>
      <c r="D1232" t="inlineStr">
        <is>
          <t>AUD</t>
        </is>
      </c>
      <c r="E1232" t="inlineStr">
        <is>
          <t>ASX</t>
        </is>
      </c>
    </row>
    <row r="1233">
      <c r="B1233" t="inlineStr">
        <is>
          <t>AVG</t>
        </is>
      </c>
      <c r="C1233" t="inlineStr">
        <is>
          <t>Australian Vintage Ltd</t>
        </is>
      </c>
      <c r="D1233" t="inlineStr">
        <is>
          <t>AUD</t>
        </is>
      </c>
      <c r="E1233" t="inlineStr">
        <is>
          <t>ASX</t>
        </is>
      </c>
    </row>
    <row r="1234">
      <c r="B1234" t="inlineStr">
        <is>
          <t>CZR</t>
        </is>
      </c>
      <c r="C1234" t="inlineStr">
        <is>
          <t>CZR Resources Ltd</t>
        </is>
      </c>
      <c r="D1234" t="inlineStr">
        <is>
          <t>AUD</t>
        </is>
      </c>
      <c r="E1234" t="inlineStr">
        <is>
          <t>ASX</t>
        </is>
      </c>
    </row>
    <row r="1235">
      <c r="B1235" t="inlineStr">
        <is>
          <t>ATH</t>
        </is>
      </c>
      <c r="C1235" t="inlineStr">
        <is>
          <t>Alterity Therapeutics Ltd</t>
        </is>
      </c>
      <c r="D1235" t="inlineStr">
        <is>
          <t>AUD</t>
        </is>
      </c>
      <c r="E1235" t="inlineStr">
        <is>
          <t>ASX</t>
        </is>
      </c>
    </row>
    <row r="1236">
      <c r="B1236" t="inlineStr">
        <is>
          <t>SNAS</t>
        </is>
      </c>
      <c r="C1236" t="inlineStr">
        <is>
          <t>Global X Ultra Short Nasdaq 100 Complex ETF</t>
        </is>
      </c>
      <c r="D1236" t="inlineStr">
        <is>
          <t>AUD</t>
        </is>
      </c>
      <c r="E1236" t="inlineStr">
        <is>
          <t>ASX</t>
        </is>
      </c>
    </row>
    <row r="1237">
      <c r="B1237" t="inlineStr">
        <is>
          <t>IRD</t>
        </is>
      </c>
      <c r="C1237" t="inlineStr">
        <is>
          <t>Iron Road Ltd</t>
        </is>
      </c>
      <c r="D1237" t="inlineStr">
        <is>
          <t>AUD</t>
        </is>
      </c>
      <c r="E1237" t="inlineStr">
        <is>
          <t>ASX</t>
        </is>
      </c>
    </row>
    <row r="1238">
      <c r="B1238" t="inlineStr">
        <is>
          <t>AGR</t>
        </is>
      </c>
      <c r="C1238" t="inlineStr">
        <is>
          <t>Aguia Resources Ltd</t>
        </is>
      </c>
      <c r="D1238" t="inlineStr">
        <is>
          <t>AUD</t>
        </is>
      </c>
      <c r="E1238" t="inlineStr">
        <is>
          <t>ASX</t>
        </is>
      </c>
    </row>
    <row r="1239">
      <c r="B1239" t="inlineStr">
        <is>
          <t>AGY</t>
        </is>
      </c>
      <c r="C1239" t="inlineStr">
        <is>
          <t>Argosy Minerals Ltd</t>
        </is>
      </c>
      <c r="D1239" t="inlineStr">
        <is>
          <t>AUD</t>
        </is>
      </c>
      <c r="E1239" t="inlineStr">
        <is>
          <t>ASX</t>
        </is>
      </c>
    </row>
    <row r="1240">
      <c r="B1240" t="inlineStr">
        <is>
          <t>PEB</t>
        </is>
      </c>
      <c r="C1240" t="inlineStr">
        <is>
          <t>Pacific Edge Ltd</t>
        </is>
      </c>
      <c r="D1240" t="inlineStr">
        <is>
          <t>AUD</t>
        </is>
      </c>
      <c r="E1240" t="inlineStr">
        <is>
          <t>ASX</t>
        </is>
      </c>
    </row>
    <row r="1241">
      <c r="B1241" t="inlineStr">
        <is>
          <t>MQIO</t>
        </is>
      </c>
      <c r="C1241" t="inlineStr">
        <is>
          <t>Macquarie Income Opp Active ETF (Managed Fund)</t>
        </is>
      </c>
      <c r="D1241" t="inlineStr">
        <is>
          <t>AUD</t>
        </is>
      </c>
      <c r="E1241" t="inlineStr">
        <is>
          <t>ASX</t>
        </is>
      </c>
    </row>
    <row r="1242">
      <c r="B1242" t="inlineStr">
        <is>
          <t>GFL</t>
        </is>
      </c>
      <c r="C1242" t="inlineStr">
        <is>
          <t>Global Masters Fund Ltd</t>
        </is>
      </c>
      <c r="D1242" t="inlineStr">
        <is>
          <t>AUD</t>
        </is>
      </c>
      <c r="E1242" t="inlineStr">
        <is>
          <t>ASX</t>
        </is>
      </c>
    </row>
    <row r="1243">
      <c r="B1243" t="inlineStr">
        <is>
          <t>EGR</t>
        </is>
      </c>
      <c r="C1243" t="inlineStr">
        <is>
          <t>Ecograf Ltd</t>
        </is>
      </c>
      <c r="D1243" t="inlineStr">
        <is>
          <t>AUD</t>
        </is>
      </c>
      <c r="E1243" t="inlineStr">
        <is>
          <t>ASX</t>
        </is>
      </c>
    </row>
    <row r="1244">
      <c r="B1244" t="inlineStr">
        <is>
          <t>YRL</t>
        </is>
      </c>
      <c r="C1244" t="inlineStr">
        <is>
          <t>Yandal Resources Ltd</t>
        </is>
      </c>
      <c r="D1244" t="inlineStr">
        <is>
          <t>AUD</t>
        </is>
      </c>
      <c r="E1244" t="inlineStr">
        <is>
          <t>ASX</t>
        </is>
      </c>
    </row>
    <row r="1245">
      <c r="B1245" t="inlineStr">
        <is>
          <t>AVC</t>
        </is>
      </c>
      <c r="C1245" t="inlineStr">
        <is>
          <t>Auctus Investment Group Ltd</t>
        </is>
      </c>
      <c r="D1245" t="inlineStr">
        <is>
          <t>AUD</t>
        </is>
      </c>
      <c r="E1245" t="inlineStr">
        <is>
          <t>ASX</t>
        </is>
      </c>
    </row>
    <row r="1246">
      <c r="B1246" t="inlineStr">
        <is>
          <t>JAT</t>
        </is>
      </c>
      <c r="C1246" t="inlineStr">
        <is>
          <t>Jatcorp Ltd</t>
        </is>
      </c>
      <c r="D1246" t="inlineStr">
        <is>
          <t>AUD</t>
        </is>
      </c>
      <c r="E1246" t="inlineStr">
        <is>
          <t>ASX</t>
        </is>
      </c>
    </row>
    <row r="1247">
      <c r="B1247" t="inlineStr">
        <is>
          <t>CHW</t>
        </is>
      </c>
      <c r="C1247" t="inlineStr">
        <is>
          <t>Chilwa Minerals Ltd</t>
        </is>
      </c>
      <c r="D1247" t="inlineStr">
        <is>
          <t>AUD</t>
        </is>
      </c>
      <c r="E1247" t="inlineStr">
        <is>
          <t>ASX</t>
        </is>
      </c>
    </row>
    <row r="1248">
      <c r="B1248" t="inlineStr">
        <is>
          <t>DRE</t>
        </is>
      </c>
      <c r="C1248" t="inlineStr">
        <is>
          <t>Dreadnought Resources Ltd</t>
        </is>
      </c>
      <c r="D1248" t="inlineStr">
        <is>
          <t>AUD</t>
        </is>
      </c>
      <c r="E1248" t="inlineStr">
        <is>
          <t>ASX</t>
        </is>
      </c>
    </row>
    <row r="1249">
      <c r="B1249" t="inlineStr">
        <is>
          <t>LEL</t>
        </is>
      </c>
      <c r="C1249" t="inlineStr">
        <is>
          <t>Lithium Energy Ltd</t>
        </is>
      </c>
      <c r="D1249" t="inlineStr">
        <is>
          <t>AUD</t>
        </is>
      </c>
      <c r="E1249" t="inlineStr">
        <is>
          <t>ASX</t>
        </is>
      </c>
    </row>
    <row r="1250">
      <c r="B1250" t="inlineStr">
        <is>
          <t>KAU</t>
        </is>
      </c>
      <c r="C1250" t="inlineStr">
        <is>
          <t>Kaiser Reef Ltd</t>
        </is>
      </c>
      <c r="D1250" t="inlineStr">
        <is>
          <t>AUD</t>
        </is>
      </c>
      <c r="E1250" t="inlineStr">
        <is>
          <t>ASX</t>
        </is>
      </c>
    </row>
    <row r="1251">
      <c r="B1251" t="inlineStr">
        <is>
          <t>AVD</t>
        </is>
      </c>
      <c r="C1251" t="inlineStr">
        <is>
          <t>Avada Group Ltd</t>
        </is>
      </c>
      <c r="D1251" t="inlineStr">
        <is>
          <t>AUD</t>
        </is>
      </c>
      <c r="E1251" t="inlineStr">
        <is>
          <t>ASX</t>
        </is>
      </c>
    </row>
    <row r="1252">
      <c r="B1252" t="inlineStr">
        <is>
          <t>IDA</t>
        </is>
      </c>
      <c r="C1252" t="inlineStr">
        <is>
          <t>Indiana Resources Ltd</t>
        </is>
      </c>
      <c r="D1252" t="inlineStr">
        <is>
          <t>AUD</t>
        </is>
      </c>
      <c r="E1252" t="inlineStr">
        <is>
          <t>ASX</t>
        </is>
      </c>
    </row>
    <row r="1253">
      <c r="B1253" t="inlineStr">
        <is>
          <t>FXG</t>
        </is>
      </c>
      <c r="C1253" t="inlineStr">
        <is>
          <t>FELIX Gold Ltd</t>
        </is>
      </c>
      <c r="D1253" t="inlineStr">
        <is>
          <t>AUD</t>
        </is>
      </c>
      <c r="E1253" t="inlineStr">
        <is>
          <t>ASX</t>
        </is>
      </c>
    </row>
    <row r="1254">
      <c r="B1254" t="inlineStr">
        <is>
          <t>WWI</t>
        </is>
      </c>
      <c r="C1254" t="inlineStr">
        <is>
          <t>West Wits Mining Ltd</t>
        </is>
      </c>
      <c r="D1254" t="inlineStr">
        <is>
          <t>AUD</t>
        </is>
      </c>
      <c r="E1254" t="inlineStr">
        <is>
          <t>ASX</t>
        </is>
      </c>
    </row>
    <row r="1255">
      <c r="B1255" t="inlineStr">
        <is>
          <t>NXS</t>
        </is>
      </c>
      <c r="C1255" t="inlineStr">
        <is>
          <t>Next Science Ltd</t>
        </is>
      </c>
      <c r="D1255" t="inlineStr">
        <is>
          <t>AUD</t>
        </is>
      </c>
      <c r="E1255" t="inlineStr">
        <is>
          <t>ASX</t>
        </is>
      </c>
    </row>
    <row r="1256">
      <c r="B1256" t="inlineStr">
        <is>
          <t>FLX</t>
        </is>
      </c>
      <c r="C1256" t="inlineStr">
        <is>
          <t>FELIX Group Holdings Ltd</t>
        </is>
      </c>
      <c r="D1256" t="inlineStr">
        <is>
          <t>AUD</t>
        </is>
      </c>
      <c r="E1256" t="inlineStr">
        <is>
          <t>ASX</t>
        </is>
      </c>
    </row>
    <row r="1257">
      <c r="B1257" t="inlineStr">
        <is>
          <t>ESK</t>
        </is>
      </c>
      <c r="C1257" t="inlineStr">
        <is>
          <t>Etherstack Plc</t>
        </is>
      </c>
      <c r="D1257" t="inlineStr">
        <is>
          <t>AUD</t>
        </is>
      </c>
      <c r="E1257" t="inlineStr">
        <is>
          <t>ASX</t>
        </is>
      </c>
    </row>
    <row r="1258">
      <c r="B1258" t="inlineStr">
        <is>
          <t>AUDS</t>
        </is>
      </c>
      <c r="C1258" t="inlineStr">
        <is>
          <t>Betashares Strong Australian Dollar Fund (Hedge Fund)</t>
        </is>
      </c>
      <c r="D1258" t="inlineStr">
        <is>
          <t>AUD</t>
        </is>
      </c>
      <c r="E1258" t="inlineStr">
        <is>
          <t>ASX</t>
        </is>
      </c>
    </row>
    <row r="1259">
      <c r="B1259" t="inlineStr">
        <is>
          <t>VTM</t>
        </is>
      </c>
      <c r="C1259" t="inlineStr">
        <is>
          <t>Victory Metals Ltd</t>
        </is>
      </c>
      <c r="D1259" t="inlineStr">
        <is>
          <t>AUD</t>
        </is>
      </c>
      <c r="E1259" t="inlineStr">
        <is>
          <t>ASX</t>
        </is>
      </c>
    </row>
    <row r="1260">
      <c r="B1260" t="inlineStr">
        <is>
          <t>ALTB</t>
        </is>
      </c>
      <c r="C1260" t="inlineStr">
        <is>
          <t>Ishares 15+ Year Australian Government Bond ETF</t>
        </is>
      </c>
      <c r="D1260" t="inlineStr">
        <is>
          <t>AUD</t>
        </is>
      </c>
      <c r="E1260" t="inlineStr">
        <is>
          <t>ASX</t>
        </is>
      </c>
    </row>
    <row r="1261">
      <c r="B1261" t="inlineStr">
        <is>
          <t>XF1</t>
        </is>
      </c>
      <c r="C1261" t="inlineStr">
        <is>
          <t>Xref Ltd</t>
        </is>
      </c>
      <c r="D1261" t="inlineStr">
        <is>
          <t>AUD</t>
        </is>
      </c>
      <c r="E1261" t="inlineStr">
        <is>
          <t>ASX</t>
        </is>
      </c>
    </row>
    <row r="1262">
      <c r="B1262" t="inlineStr">
        <is>
          <t>DEV</t>
        </is>
      </c>
      <c r="C1262" t="inlineStr">
        <is>
          <t>DEVEX Resources Ltd</t>
        </is>
      </c>
      <c r="D1262" t="inlineStr">
        <is>
          <t>AUD</t>
        </is>
      </c>
      <c r="E1262" t="inlineStr">
        <is>
          <t>ASX</t>
        </is>
      </c>
    </row>
    <row r="1263">
      <c r="B1263" t="inlineStr">
        <is>
          <t>GCM</t>
        </is>
      </c>
      <c r="C1263" t="inlineStr">
        <is>
          <t>Green Critical Minerals Ltd</t>
        </is>
      </c>
      <c r="D1263" t="inlineStr">
        <is>
          <t>AUD</t>
        </is>
      </c>
      <c r="E1263" t="inlineStr">
        <is>
          <t>ASX</t>
        </is>
      </c>
    </row>
    <row r="1264">
      <c r="B1264" t="inlineStr">
        <is>
          <t>JBY</t>
        </is>
      </c>
      <c r="C1264" t="inlineStr">
        <is>
          <t>James Bay Minerals Ltd</t>
        </is>
      </c>
      <c r="D1264" t="inlineStr">
        <is>
          <t>AUD</t>
        </is>
      </c>
      <c r="E1264" t="inlineStr">
        <is>
          <t>ASX</t>
        </is>
      </c>
    </row>
    <row r="1265">
      <c r="B1265" t="inlineStr">
        <is>
          <t>QHL</t>
        </is>
      </c>
      <c r="C1265" t="inlineStr">
        <is>
          <t>Quickstep Holdings Ltd</t>
        </is>
      </c>
      <c r="D1265" t="inlineStr">
        <is>
          <t>AUD</t>
        </is>
      </c>
      <c r="E1265" t="inlineStr">
        <is>
          <t>ASX</t>
        </is>
      </c>
    </row>
    <row r="1266">
      <c r="B1266" t="inlineStr">
        <is>
          <t>BOND</t>
        </is>
      </c>
      <c r="C1266" t="inlineStr">
        <is>
          <t>SPDR S&amp;P/ASX Australian Bond Fund</t>
        </is>
      </c>
      <c r="D1266" t="inlineStr">
        <is>
          <t>AUD</t>
        </is>
      </c>
      <c r="E1266" t="inlineStr">
        <is>
          <t>ASX</t>
        </is>
      </c>
    </row>
    <row r="1267">
      <c r="B1267" t="inlineStr">
        <is>
          <t>LMG</t>
        </is>
      </c>
      <c r="C1267" t="inlineStr">
        <is>
          <t>Latrobe Magnesium Ltd</t>
        </is>
      </c>
      <c r="D1267" t="inlineStr">
        <is>
          <t>AUD</t>
        </is>
      </c>
      <c r="E1267" t="inlineStr">
        <is>
          <t>ASX</t>
        </is>
      </c>
    </row>
    <row r="1268">
      <c r="B1268" t="inlineStr">
        <is>
          <t>OVT</t>
        </is>
      </c>
      <c r="C1268" t="inlineStr">
        <is>
          <t>Ovanti Ltd</t>
        </is>
      </c>
      <c r="D1268" t="inlineStr">
        <is>
          <t>AUD</t>
        </is>
      </c>
      <c r="E1268" t="inlineStr">
        <is>
          <t>ASX</t>
        </is>
      </c>
    </row>
    <row r="1269">
      <c r="B1269" t="inlineStr">
        <is>
          <t>PRO</t>
        </is>
      </c>
      <c r="C1269" t="inlineStr">
        <is>
          <t>Prophecy International Holdings Ltd</t>
        </is>
      </c>
      <c r="D1269" t="inlineStr">
        <is>
          <t>AUD</t>
        </is>
      </c>
      <c r="E1269" t="inlineStr">
        <is>
          <t>ASX</t>
        </is>
      </c>
    </row>
    <row r="1270">
      <c r="B1270" t="inlineStr">
        <is>
          <t>DDB</t>
        </is>
      </c>
      <c r="C1270" t="inlineStr">
        <is>
          <t>Dynamic Group Holdings Ltd</t>
        </is>
      </c>
      <c r="D1270" t="inlineStr">
        <is>
          <t>AUD</t>
        </is>
      </c>
      <c r="E1270" t="inlineStr">
        <is>
          <t>ASX</t>
        </is>
      </c>
    </row>
    <row r="1271">
      <c r="B1271" t="inlineStr">
        <is>
          <t>NGE</t>
        </is>
      </c>
      <c r="C1271" t="inlineStr">
        <is>
          <t>NGE Capital Ltd</t>
        </is>
      </c>
      <c r="D1271" t="inlineStr">
        <is>
          <t>AUD</t>
        </is>
      </c>
      <c r="E1271" t="inlineStr">
        <is>
          <t>ASX</t>
        </is>
      </c>
    </row>
    <row r="1272">
      <c r="B1272" t="inlineStr">
        <is>
          <t>TIG</t>
        </is>
      </c>
      <c r="C1272" t="inlineStr">
        <is>
          <t>Tigers Realm Coal Ltd</t>
        </is>
      </c>
      <c r="D1272" t="inlineStr">
        <is>
          <t>AUD</t>
        </is>
      </c>
      <c r="E1272" t="inlineStr">
        <is>
          <t>ASX</t>
        </is>
      </c>
    </row>
    <row r="1273">
      <c r="B1273" t="inlineStr">
        <is>
          <t>VBC</t>
        </is>
      </c>
      <c r="C1273" t="inlineStr">
        <is>
          <t>Verbrec Ltd</t>
        </is>
      </c>
      <c r="D1273" t="inlineStr">
        <is>
          <t>AUD</t>
        </is>
      </c>
      <c r="E1273" t="inlineStr">
        <is>
          <t>ASX</t>
        </is>
      </c>
    </row>
    <row r="1274">
      <c r="B1274" t="inlineStr">
        <is>
          <t>EYE</t>
        </is>
      </c>
      <c r="C1274" t="inlineStr">
        <is>
          <t>Nova EYE Medical Ltd</t>
        </is>
      </c>
      <c r="D1274" t="inlineStr">
        <is>
          <t>AUD</t>
        </is>
      </c>
      <c r="E1274" t="inlineStr">
        <is>
          <t>ASX</t>
        </is>
      </c>
    </row>
    <row r="1275">
      <c r="B1275" t="inlineStr">
        <is>
          <t>TLM</t>
        </is>
      </c>
      <c r="C1275" t="inlineStr">
        <is>
          <t>Talisman Mining Ltd</t>
        </is>
      </c>
      <c r="D1275" t="inlineStr">
        <is>
          <t>AUD</t>
        </is>
      </c>
      <c r="E1275" t="inlineStr">
        <is>
          <t>ASX</t>
        </is>
      </c>
    </row>
    <row r="1276">
      <c r="B1276" t="inlineStr">
        <is>
          <t>VMT</t>
        </is>
      </c>
      <c r="C1276" t="inlineStr">
        <is>
          <t>Vmoto Ltd</t>
        </is>
      </c>
      <c r="D1276" t="inlineStr">
        <is>
          <t>AUD</t>
        </is>
      </c>
      <c r="E1276" t="inlineStr">
        <is>
          <t>ASX</t>
        </is>
      </c>
    </row>
    <row r="1277">
      <c r="B1277" t="inlineStr">
        <is>
          <t>BML</t>
        </is>
      </c>
      <c r="C1277" t="inlineStr">
        <is>
          <t>Boab Metals Ltd</t>
        </is>
      </c>
      <c r="D1277" t="inlineStr">
        <is>
          <t>AUD</t>
        </is>
      </c>
      <c r="E1277" t="inlineStr">
        <is>
          <t>ASX</t>
        </is>
      </c>
    </row>
    <row r="1278">
      <c r="B1278" t="inlineStr">
        <is>
          <t>FGR</t>
        </is>
      </c>
      <c r="C1278" t="inlineStr">
        <is>
          <t>First Graphene Ltd</t>
        </is>
      </c>
      <c r="D1278" t="inlineStr">
        <is>
          <t>AUD</t>
        </is>
      </c>
      <c r="E1278" t="inlineStr">
        <is>
          <t>ASX</t>
        </is>
      </c>
    </row>
    <row r="1279">
      <c r="B1279" t="inlineStr">
        <is>
          <t>RTR</t>
        </is>
      </c>
      <c r="C1279" t="inlineStr">
        <is>
          <t>Rumble Resources Ltd</t>
        </is>
      </c>
      <c r="D1279" t="inlineStr">
        <is>
          <t>AUD</t>
        </is>
      </c>
      <c r="E1279" t="inlineStr">
        <is>
          <t>ASX</t>
        </is>
      </c>
    </row>
    <row r="1280">
      <c r="B1280" t="inlineStr">
        <is>
          <t>AQD</t>
        </is>
      </c>
      <c r="C1280" t="inlineStr">
        <is>
          <t>Ausquest Ltd</t>
        </is>
      </c>
      <c r="D1280" t="inlineStr">
        <is>
          <t>AUD</t>
        </is>
      </c>
      <c r="E1280" t="inlineStr">
        <is>
          <t>ASX</t>
        </is>
      </c>
    </row>
    <row r="1281">
      <c r="B1281" t="inlineStr">
        <is>
          <t>SKY</t>
        </is>
      </c>
      <c r="C1281" t="inlineStr">
        <is>
          <t>SKY Metals Ltd</t>
        </is>
      </c>
      <c r="D1281" t="inlineStr">
        <is>
          <t>AUD</t>
        </is>
      </c>
      <c r="E1281" t="inlineStr">
        <is>
          <t>ASX</t>
        </is>
      </c>
    </row>
    <row r="1282">
      <c r="B1282" t="inlineStr">
        <is>
          <t>BANK</t>
        </is>
      </c>
      <c r="C1282" t="inlineStr">
        <is>
          <t>Global X Australian Bank Credit ETF</t>
        </is>
      </c>
      <c r="D1282" t="inlineStr">
        <is>
          <t>AUD</t>
        </is>
      </c>
      <c r="E1282" t="inlineStr">
        <is>
          <t>ASX</t>
        </is>
      </c>
    </row>
    <row r="1283">
      <c r="B1283" t="inlineStr">
        <is>
          <t>MEC</t>
        </is>
      </c>
      <c r="C1283" t="inlineStr">
        <is>
          <t>Morphic Ethical Equities Fund Ltd</t>
        </is>
      </c>
      <c r="D1283" t="inlineStr">
        <is>
          <t>AUD</t>
        </is>
      </c>
      <c r="E1283" t="inlineStr">
        <is>
          <t>ASX</t>
        </is>
      </c>
    </row>
    <row r="1284">
      <c r="B1284" t="inlineStr">
        <is>
          <t>DNA</t>
        </is>
      </c>
      <c r="C1284" t="inlineStr">
        <is>
          <t>Donaco International Ltd</t>
        </is>
      </c>
      <c r="D1284" t="inlineStr">
        <is>
          <t>AUD</t>
        </is>
      </c>
      <c r="E1284" t="inlineStr">
        <is>
          <t>ASX</t>
        </is>
      </c>
    </row>
    <row r="1285">
      <c r="B1285" t="inlineStr">
        <is>
          <t>PUA</t>
        </is>
      </c>
      <c r="C1285" t="inlineStr">
        <is>
          <t>Peak Minerals Ltd</t>
        </is>
      </c>
      <c r="D1285" t="inlineStr">
        <is>
          <t>AUD</t>
        </is>
      </c>
      <c r="E1285" t="inlineStr">
        <is>
          <t>ASX</t>
        </is>
      </c>
    </row>
    <row r="1286">
      <c r="B1286" t="inlineStr">
        <is>
          <t>JPR</t>
        </is>
      </c>
      <c r="C1286" t="inlineStr">
        <is>
          <t>Jupiter Energy Ltd</t>
        </is>
      </c>
      <c r="D1286" t="inlineStr">
        <is>
          <t>AUD</t>
        </is>
      </c>
      <c r="E1286" t="inlineStr">
        <is>
          <t>ASX</t>
        </is>
      </c>
    </row>
    <row r="1287">
      <c r="B1287" t="inlineStr">
        <is>
          <t>KAT</t>
        </is>
      </c>
      <c r="C1287" t="inlineStr">
        <is>
          <t>Katana Capital Ltd</t>
        </is>
      </c>
      <c r="D1287" t="inlineStr">
        <is>
          <t>AUD</t>
        </is>
      </c>
      <c r="E1287" t="inlineStr">
        <is>
          <t>ASX</t>
        </is>
      </c>
    </row>
    <row r="1288">
      <c r="B1288" t="inlineStr">
        <is>
          <t>MPX</t>
        </is>
      </c>
      <c r="C1288" t="inlineStr">
        <is>
          <t>Mustera Property Group Ltd</t>
        </is>
      </c>
      <c r="D1288" t="inlineStr">
        <is>
          <t>AUD</t>
        </is>
      </c>
      <c r="E1288" t="inlineStr">
        <is>
          <t>ASX</t>
        </is>
      </c>
    </row>
    <row r="1289">
      <c r="B1289" t="inlineStr">
        <is>
          <t>ROG</t>
        </is>
      </c>
      <c r="C1289" t="inlineStr">
        <is>
          <t>Red Sky Energy Ltd</t>
        </is>
      </c>
      <c r="D1289" t="inlineStr">
        <is>
          <t>AUD</t>
        </is>
      </c>
      <c r="E1289" t="inlineStr">
        <is>
          <t>ASX</t>
        </is>
      </c>
    </row>
    <row r="1290">
      <c r="B1290" t="inlineStr">
        <is>
          <t>WCN</t>
        </is>
      </c>
      <c r="C1290" t="inlineStr">
        <is>
          <t>White Cliff Minerals Ltd</t>
        </is>
      </c>
      <c r="D1290" t="inlineStr">
        <is>
          <t>AUD</t>
        </is>
      </c>
      <c r="E1290" t="inlineStr">
        <is>
          <t>ASX</t>
        </is>
      </c>
    </row>
    <row r="1291">
      <c r="B1291" t="inlineStr">
        <is>
          <t>VIG</t>
        </is>
      </c>
      <c r="C1291" t="inlineStr">
        <is>
          <t>Victor Group Holdings Ltd</t>
        </is>
      </c>
      <c r="D1291" t="inlineStr">
        <is>
          <t>AUD</t>
        </is>
      </c>
      <c r="E1291" t="inlineStr">
        <is>
          <t>ASX</t>
        </is>
      </c>
    </row>
    <row r="1292">
      <c r="B1292" t="inlineStr">
        <is>
          <t>QFE</t>
        </is>
      </c>
      <c r="C1292" t="inlineStr">
        <is>
          <t>Quickfee Ltd</t>
        </is>
      </c>
      <c r="D1292" t="inlineStr">
        <is>
          <t>AUD</t>
        </is>
      </c>
      <c r="E1292" t="inlineStr">
        <is>
          <t>ASX</t>
        </is>
      </c>
    </row>
    <row r="1293">
      <c r="B1293" t="inlineStr">
        <is>
          <t>BRU</t>
        </is>
      </c>
      <c r="C1293" t="inlineStr">
        <is>
          <t>Buru Energy Ltd</t>
        </is>
      </c>
      <c r="D1293" t="inlineStr">
        <is>
          <t>AUD</t>
        </is>
      </c>
      <c r="E1293" t="inlineStr">
        <is>
          <t>ASX</t>
        </is>
      </c>
    </row>
    <row r="1294">
      <c r="B1294" t="inlineStr">
        <is>
          <t>SUV</t>
        </is>
      </c>
      <c r="C1294" t="inlineStr">
        <is>
          <t>Suvo Strategic Minerals Ltd</t>
        </is>
      </c>
      <c r="D1294" t="inlineStr">
        <is>
          <t>AUD</t>
        </is>
      </c>
      <c r="E1294" t="inlineStr">
        <is>
          <t>ASX</t>
        </is>
      </c>
    </row>
    <row r="1295">
      <c r="B1295" t="inlineStr">
        <is>
          <t>INCM</t>
        </is>
      </c>
      <c r="C1295" t="inlineStr">
        <is>
          <t>Betashares Global Income Leaders ETF</t>
        </is>
      </c>
      <c r="D1295" t="inlineStr">
        <is>
          <t>AUD</t>
        </is>
      </c>
      <c r="E1295" t="inlineStr">
        <is>
          <t>ASX</t>
        </is>
      </c>
    </row>
    <row r="1296">
      <c r="B1296" t="inlineStr">
        <is>
          <t>YOJ</t>
        </is>
      </c>
      <c r="C1296" t="inlineStr">
        <is>
          <t>Yojee Ltd</t>
        </is>
      </c>
      <c r="D1296" t="inlineStr">
        <is>
          <t>AUD</t>
        </is>
      </c>
      <c r="E1296" t="inlineStr">
        <is>
          <t>ASX</t>
        </is>
      </c>
    </row>
    <row r="1297">
      <c r="B1297" t="inlineStr">
        <is>
          <t>GBR</t>
        </is>
      </c>
      <c r="C1297" t="inlineStr">
        <is>
          <t>Great Boulder Resources Ltd</t>
        </is>
      </c>
      <c r="D1297" t="inlineStr">
        <is>
          <t>AUD</t>
        </is>
      </c>
      <c r="E1297" t="inlineStr">
        <is>
          <t>ASX</t>
        </is>
      </c>
    </row>
    <row r="1298">
      <c r="B1298" t="inlineStr">
        <is>
          <t>PH2</t>
        </is>
      </c>
      <c r="C1298" t="inlineStr">
        <is>
          <t>Pure Hydrogen Corporation Ltd</t>
        </is>
      </c>
      <c r="D1298" t="inlineStr">
        <is>
          <t>AUD</t>
        </is>
      </c>
      <c r="E1298" t="inlineStr">
        <is>
          <t>ASX</t>
        </is>
      </c>
    </row>
    <row r="1299">
      <c r="B1299" t="inlineStr">
        <is>
          <t>PPL</t>
        </is>
      </c>
      <c r="C1299" t="inlineStr">
        <is>
          <t>Pureprofile Ltd</t>
        </is>
      </c>
      <c r="D1299" t="inlineStr">
        <is>
          <t>AUD</t>
        </is>
      </c>
      <c r="E1299" t="inlineStr">
        <is>
          <t>ASX</t>
        </is>
      </c>
    </row>
    <row r="1300">
      <c r="B1300" t="inlineStr">
        <is>
          <t>CVB</t>
        </is>
      </c>
      <c r="C1300" t="inlineStr">
        <is>
          <t>Curvebeam Ai Ltd</t>
        </is>
      </c>
      <c r="D1300" t="inlineStr">
        <is>
          <t>AUD</t>
        </is>
      </c>
      <c r="E1300" t="inlineStr">
        <is>
          <t>ASX</t>
        </is>
      </c>
    </row>
    <row r="1301">
      <c r="B1301" t="inlineStr">
        <is>
          <t>KAI</t>
        </is>
      </c>
      <c r="C1301" t="inlineStr">
        <is>
          <t>Kairos Minerals Ltd</t>
        </is>
      </c>
      <c r="D1301" t="inlineStr">
        <is>
          <t>AUD</t>
        </is>
      </c>
      <c r="E1301" t="inlineStr">
        <is>
          <t>ASX</t>
        </is>
      </c>
    </row>
    <row r="1302">
      <c r="B1302" t="inlineStr">
        <is>
          <t>STG</t>
        </is>
      </c>
      <c r="C1302" t="inlineStr">
        <is>
          <t>Straker Ltd</t>
        </is>
      </c>
      <c r="D1302" t="inlineStr">
        <is>
          <t>AUD</t>
        </is>
      </c>
      <c r="E1302" t="inlineStr">
        <is>
          <t>ASX</t>
        </is>
      </c>
    </row>
    <row r="1303">
      <c r="B1303" t="inlineStr">
        <is>
          <t>CSX</t>
        </is>
      </c>
      <c r="C1303" t="inlineStr">
        <is>
          <t>Cleanspace Holdings Ltd</t>
        </is>
      </c>
      <c r="D1303" t="inlineStr">
        <is>
          <t>AUD</t>
        </is>
      </c>
      <c r="E1303" t="inlineStr">
        <is>
          <t>ASX</t>
        </is>
      </c>
    </row>
    <row r="1304">
      <c r="B1304" t="inlineStr">
        <is>
          <t>SIX</t>
        </is>
      </c>
      <c r="C1304" t="inlineStr">
        <is>
          <t>Sprintex Ltd</t>
        </is>
      </c>
      <c r="D1304" t="inlineStr">
        <is>
          <t>AUD</t>
        </is>
      </c>
      <c r="E1304" t="inlineStr">
        <is>
          <t>ASX</t>
        </is>
      </c>
    </row>
    <row r="1305">
      <c r="B1305" t="inlineStr">
        <is>
          <t>RVT</t>
        </is>
      </c>
      <c r="C1305" t="inlineStr">
        <is>
          <t>Richmond Vanadium Technology Ltd</t>
        </is>
      </c>
      <c r="D1305" t="inlineStr">
        <is>
          <t>AUD</t>
        </is>
      </c>
      <c r="E1305" t="inlineStr">
        <is>
          <t>ASX</t>
        </is>
      </c>
    </row>
    <row r="1306">
      <c r="B1306" t="inlineStr">
        <is>
          <t>SWP</t>
        </is>
      </c>
      <c r="C1306" t="inlineStr">
        <is>
          <t>Swoop Holdings Ltd</t>
        </is>
      </c>
      <c r="D1306" t="inlineStr">
        <is>
          <t>AUD</t>
        </is>
      </c>
      <c r="E1306" t="inlineStr">
        <is>
          <t>ASX</t>
        </is>
      </c>
    </row>
    <row r="1307">
      <c r="B1307" t="inlineStr">
        <is>
          <t>HE8</t>
        </is>
      </c>
      <c r="C1307" t="inlineStr">
        <is>
          <t>Helios Energy Ltd</t>
        </is>
      </c>
      <c r="D1307" t="inlineStr">
        <is>
          <t>AUD</t>
        </is>
      </c>
      <c r="E1307" t="inlineStr">
        <is>
          <t>ASX</t>
        </is>
      </c>
    </row>
    <row r="1308">
      <c r="B1308" t="inlineStr">
        <is>
          <t>RTH</t>
        </is>
      </c>
      <c r="C1308" t="inlineStr">
        <is>
          <t>Ras Technology Holdings Ltd</t>
        </is>
      </c>
      <c r="D1308" t="inlineStr">
        <is>
          <t>AUD</t>
        </is>
      </c>
      <c r="E1308" t="inlineStr">
        <is>
          <t>ASX</t>
        </is>
      </c>
    </row>
    <row r="1309">
      <c r="B1309" t="inlineStr">
        <is>
          <t>LGP</t>
        </is>
      </c>
      <c r="C1309" t="inlineStr">
        <is>
          <t>Little Green Pharma Ltd</t>
        </is>
      </c>
      <c r="D1309" t="inlineStr">
        <is>
          <t>AUD</t>
        </is>
      </c>
      <c r="E1309" t="inlineStr">
        <is>
          <t>ASX</t>
        </is>
      </c>
    </row>
    <row r="1310">
      <c r="B1310" t="inlineStr">
        <is>
          <t>CURE</t>
        </is>
      </c>
      <c r="C1310" t="inlineStr">
        <is>
          <t>Global X S&amp;P Biotech ETF</t>
        </is>
      </c>
      <c r="D1310" t="inlineStr">
        <is>
          <t>AUD</t>
        </is>
      </c>
      <c r="E1310" t="inlineStr">
        <is>
          <t>ASX</t>
        </is>
      </c>
    </row>
    <row r="1311">
      <c r="B1311" t="inlineStr">
        <is>
          <t>AQI</t>
        </is>
      </c>
      <c r="C1311" t="inlineStr">
        <is>
          <t>Alicanto Minerals Ltd</t>
        </is>
      </c>
      <c r="D1311" t="inlineStr">
        <is>
          <t>AUD</t>
        </is>
      </c>
      <c r="E1311" t="inlineStr">
        <is>
          <t>ASX</t>
        </is>
      </c>
    </row>
    <row r="1312">
      <c r="B1312" t="inlineStr">
        <is>
          <t>STM</t>
        </is>
      </c>
      <c r="C1312" t="inlineStr">
        <is>
          <t>Sunstone Metals Ltd</t>
        </is>
      </c>
      <c r="D1312" t="inlineStr">
        <is>
          <t>AUD</t>
        </is>
      </c>
      <c r="E1312" t="inlineStr">
        <is>
          <t>ASX</t>
        </is>
      </c>
    </row>
    <row r="1313">
      <c r="B1313" t="inlineStr">
        <is>
          <t>TSO</t>
        </is>
      </c>
      <c r="C1313" t="inlineStr">
        <is>
          <t>Tesoro Gold Ltd</t>
        </is>
      </c>
      <c r="D1313" t="inlineStr">
        <is>
          <t>AUD</t>
        </is>
      </c>
      <c r="E1313" t="inlineStr">
        <is>
          <t>ASX</t>
        </is>
      </c>
    </row>
    <row r="1314">
      <c r="B1314" t="inlineStr">
        <is>
          <t>AMD</t>
        </is>
      </c>
      <c r="C1314" t="inlineStr">
        <is>
          <t>Arrow Minerals Ltd</t>
        </is>
      </c>
      <c r="D1314" t="inlineStr">
        <is>
          <t>AUD</t>
        </is>
      </c>
      <c r="E1314" t="inlineStr">
        <is>
          <t>ASX</t>
        </is>
      </c>
    </row>
    <row r="1315">
      <c r="B1315" t="inlineStr">
        <is>
          <t>EAFZ</t>
        </is>
      </c>
      <c r="C1315" t="inlineStr">
        <is>
          <t>Ellerston Asia Growth Fund (Hedge Fund)</t>
        </is>
      </c>
      <c r="D1315" t="inlineStr">
        <is>
          <t>AUD</t>
        </is>
      </c>
      <c r="E1315" t="inlineStr">
        <is>
          <t>ASX</t>
        </is>
      </c>
    </row>
    <row r="1316">
      <c r="B1316" t="inlineStr">
        <is>
          <t>IPT</t>
        </is>
      </c>
      <c r="C1316" t="inlineStr">
        <is>
          <t>Impact Minerals Ltd</t>
        </is>
      </c>
      <c r="D1316" t="inlineStr">
        <is>
          <t>AUD</t>
        </is>
      </c>
      <c r="E1316" t="inlineStr">
        <is>
          <t>ASX</t>
        </is>
      </c>
    </row>
    <row r="1317">
      <c r="B1317" t="inlineStr">
        <is>
          <t>CTE</t>
        </is>
      </c>
      <c r="C1317" t="inlineStr">
        <is>
          <t>Cryosite Ltd</t>
        </is>
      </c>
      <c r="D1317" t="inlineStr">
        <is>
          <t>AUD</t>
        </is>
      </c>
      <c r="E1317" t="inlineStr">
        <is>
          <t>ASX</t>
        </is>
      </c>
    </row>
    <row r="1318">
      <c r="B1318" t="inlineStr">
        <is>
          <t>DCOR</t>
        </is>
      </c>
      <c r="C1318" t="inlineStr">
        <is>
          <t>Daintree Core Income Active ETF</t>
        </is>
      </c>
      <c r="D1318" t="inlineStr">
        <is>
          <t>AUD</t>
        </is>
      </c>
      <c r="E1318" t="inlineStr">
        <is>
          <t>ASX</t>
        </is>
      </c>
    </row>
    <row r="1319">
      <c r="B1319" t="inlineStr">
        <is>
          <t>DGH</t>
        </is>
      </c>
      <c r="C1319" t="inlineStr">
        <is>
          <t>Desane Group Holdings Ltd</t>
        </is>
      </c>
      <c r="D1319" t="inlineStr">
        <is>
          <t>AUD</t>
        </is>
      </c>
      <c r="E1319" t="inlineStr">
        <is>
          <t>ASX</t>
        </is>
      </c>
    </row>
    <row r="1320">
      <c r="B1320" t="inlineStr">
        <is>
          <t>IVR</t>
        </is>
      </c>
      <c r="C1320" t="inlineStr">
        <is>
          <t>Investigator Resources Ltd</t>
        </is>
      </c>
      <c r="D1320" t="inlineStr">
        <is>
          <t>AUD</t>
        </is>
      </c>
      <c r="E1320" t="inlineStr">
        <is>
          <t>ASX</t>
        </is>
      </c>
    </row>
    <row r="1321">
      <c r="B1321" t="inlineStr">
        <is>
          <t>S2R</t>
        </is>
      </c>
      <c r="C1321" t="inlineStr">
        <is>
          <t>S2 Resources Ltd</t>
        </is>
      </c>
      <c r="D1321" t="inlineStr">
        <is>
          <t>AUD</t>
        </is>
      </c>
      <c r="E1321" t="inlineStr">
        <is>
          <t>ASX</t>
        </is>
      </c>
    </row>
    <row r="1322">
      <c r="B1322" t="inlineStr">
        <is>
          <t>CETF</t>
        </is>
      </c>
      <c r="C1322" t="inlineStr">
        <is>
          <t>Vaneck Ftse China A50 ETF</t>
        </is>
      </c>
      <c r="D1322" t="inlineStr">
        <is>
          <t>AUD</t>
        </is>
      </c>
      <c r="E1322" t="inlineStr">
        <is>
          <t>ASX</t>
        </is>
      </c>
    </row>
    <row r="1323">
      <c r="B1323" t="inlineStr">
        <is>
          <t>ABV</t>
        </is>
      </c>
      <c r="C1323" t="inlineStr">
        <is>
          <t>Advanced Braking Technology Ltd</t>
        </is>
      </c>
      <c r="D1323" t="inlineStr">
        <is>
          <t>AUD</t>
        </is>
      </c>
      <c r="E1323" t="inlineStr">
        <is>
          <t>ASX</t>
        </is>
      </c>
    </row>
    <row r="1324">
      <c r="B1324" t="inlineStr">
        <is>
          <t>GHM</t>
        </is>
      </c>
      <c r="C1324" t="inlineStr">
        <is>
          <t>Golden Horse Minerals Ltd</t>
        </is>
      </c>
      <c r="D1324" t="inlineStr">
        <is>
          <t>AUD</t>
        </is>
      </c>
      <c r="E1324" t="inlineStr">
        <is>
          <t>ASX</t>
        </is>
      </c>
    </row>
    <row r="1325">
      <c r="B1325" t="inlineStr">
        <is>
          <t>FCT</t>
        </is>
      </c>
      <c r="C1325" t="inlineStr">
        <is>
          <t>Firstwave Cloud Technology Ltd</t>
        </is>
      </c>
      <c r="D1325" t="inlineStr">
        <is>
          <t>AUD</t>
        </is>
      </c>
      <c r="E1325" t="inlineStr">
        <is>
          <t>ASX</t>
        </is>
      </c>
    </row>
    <row r="1326">
      <c r="B1326" t="inlineStr">
        <is>
          <t>WTL</t>
        </is>
      </c>
      <c r="C1326" t="inlineStr">
        <is>
          <t>WT Financial Group Ltd</t>
        </is>
      </c>
      <c r="D1326" t="inlineStr">
        <is>
          <t>AUD</t>
        </is>
      </c>
      <c r="E1326" t="inlineStr">
        <is>
          <t>ASX</t>
        </is>
      </c>
    </row>
    <row r="1327">
      <c r="B1327" t="inlineStr">
        <is>
          <t>VRX</t>
        </is>
      </c>
      <c r="C1327" t="inlineStr">
        <is>
          <t>VRX Silica Ltd</t>
        </is>
      </c>
      <c r="D1327" t="inlineStr">
        <is>
          <t>AUD</t>
        </is>
      </c>
      <c r="E1327" t="inlineStr">
        <is>
          <t>ASX</t>
        </is>
      </c>
    </row>
    <row r="1328">
      <c r="B1328" t="inlineStr">
        <is>
          <t>BDX</t>
        </is>
      </c>
      <c r="C1328" t="inlineStr">
        <is>
          <t>Bcal Diagnostics Ltd</t>
        </is>
      </c>
      <c r="D1328" t="inlineStr">
        <is>
          <t>AUD</t>
        </is>
      </c>
      <c r="E1328" t="inlineStr">
        <is>
          <t>ASX</t>
        </is>
      </c>
    </row>
    <row r="1329">
      <c r="B1329" t="inlineStr">
        <is>
          <t>TMG</t>
        </is>
      </c>
      <c r="C1329" t="inlineStr">
        <is>
          <t>Trigg Minerals Ltd</t>
        </is>
      </c>
      <c r="D1329" t="inlineStr">
        <is>
          <t>AUD</t>
        </is>
      </c>
      <c r="E1329" t="inlineStr">
        <is>
          <t>ASX</t>
        </is>
      </c>
    </row>
    <row r="1330">
      <c r="B1330" t="inlineStr">
        <is>
          <t>MHK</t>
        </is>
      </c>
      <c r="C1330" t="inlineStr">
        <is>
          <t>Metal Hawk Ltd</t>
        </is>
      </c>
      <c r="D1330" t="inlineStr">
        <is>
          <t>AUD</t>
        </is>
      </c>
      <c r="E1330" t="inlineStr">
        <is>
          <t>ASX</t>
        </is>
      </c>
    </row>
    <row r="1331">
      <c r="B1331" t="inlineStr">
        <is>
          <t>BBC</t>
        </is>
      </c>
      <c r="C1331" t="inlineStr">
        <is>
          <t>BNK Banking Corporation Ltd</t>
        </is>
      </c>
      <c r="D1331" t="inlineStr">
        <is>
          <t>AUD</t>
        </is>
      </c>
      <c r="E1331" t="inlineStr">
        <is>
          <t>ASX</t>
        </is>
      </c>
    </row>
    <row r="1332">
      <c r="B1332" t="inlineStr">
        <is>
          <t>NGY</t>
        </is>
      </c>
      <c r="C1332" t="inlineStr">
        <is>
          <t>Nuenergy Gas Ltd</t>
        </is>
      </c>
      <c r="D1332" t="inlineStr">
        <is>
          <t>AUD</t>
        </is>
      </c>
      <c r="E1332" t="inlineStr">
        <is>
          <t>ASX</t>
        </is>
      </c>
    </row>
    <row r="1333">
      <c r="B1333" t="inlineStr">
        <is>
          <t>CAMG</t>
        </is>
      </c>
      <c r="C1333" t="inlineStr">
        <is>
          <t>Clime Capital Ltd</t>
        </is>
      </c>
      <c r="D1333" t="inlineStr">
        <is>
          <t>AUD</t>
        </is>
      </c>
      <c r="E1333" t="inlineStr">
        <is>
          <t>ASX</t>
        </is>
      </c>
    </row>
    <row r="1334">
      <c r="B1334" t="inlineStr">
        <is>
          <t>PPK</t>
        </is>
      </c>
      <c r="C1334" t="inlineStr">
        <is>
          <t>PPK Group Ltd</t>
        </is>
      </c>
      <c r="D1334" t="inlineStr">
        <is>
          <t>AUD</t>
        </is>
      </c>
      <c r="E1334" t="inlineStr">
        <is>
          <t>ASX</t>
        </is>
      </c>
    </row>
    <row r="1335">
      <c r="B1335" t="inlineStr">
        <is>
          <t>AW1</t>
        </is>
      </c>
      <c r="C1335" t="inlineStr">
        <is>
          <t>American West Metals Ltd</t>
        </is>
      </c>
      <c r="D1335" t="inlineStr">
        <is>
          <t>AUD</t>
        </is>
      </c>
      <c r="E1335" t="inlineStr">
        <is>
          <t>ASX</t>
        </is>
      </c>
    </row>
    <row r="1336">
      <c r="B1336" t="inlineStr">
        <is>
          <t>AGC</t>
        </is>
      </c>
      <c r="C1336" t="inlineStr">
        <is>
          <t>Australian Gold and Copper Ltd</t>
        </is>
      </c>
      <c r="D1336" t="inlineStr">
        <is>
          <t>AUD</t>
        </is>
      </c>
      <c r="E1336" t="inlineStr">
        <is>
          <t>ASX</t>
        </is>
      </c>
    </row>
    <row r="1337">
      <c r="B1337" t="inlineStr">
        <is>
          <t>SRZ</t>
        </is>
      </c>
      <c r="C1337" t="inlineStr">
        <is>
          <t>Stellar Resources Ltd</t>
        </is>
      </c>
      <c r="D1337" t="inlineStr">
        <is>
          <t>AUD</t>
        </is>
      </c>
      <c r="E1337" t="inlineStr">
        <is>
          <t>ASX</t>
        </is>
      </c>
    </row>
    <row r="1338">
      <c r="B1338" t="inlineStr">
        <is>
          <t>PWN</t>
        </is>
      </c>
      <c r="C1338" t="inlineStr">
        <is>
          <t>Parkway Corporate Ltd</t>
        </is>
      </c>
      <c r="D1338" t="inlineStr">
        <is>
          <t>AUD</t>
        </is>
      </c>
      <c r="E1338" t="inlineStr">
        <is>
          <t>ASX</t>
        </is>
      </c>
    </row>
    <row r="1339">
      <c r="B1339" t="inlineStr">
        <is>
          <t>TCF</t>
        </is>
      </c>
      <c r="C1339" t="inlineStr">
        <is>
          <t>360 Capital Mortgage REIT</t>
        </is>
      </c>
      <c r="D1339" t="inlineStr">
        <is>
          <t>AUD</t>
        </is>
      </c>
      <c r="E1339" t="inlineStr">
        <is>
          <t>ASX</t>
        </is>
      </c>
    </row>
    <row r="1340">
      <c r="B1340" t="inlineStr">
        <is>
          <t>CFLO</t>
        </is>
      </c>
      <c r="C1340" t="inlineStr">
        <is>
          <t>Betashares Global Cash Flow Kings ETF</t>
        </is>
      </c>
      <c r="D1340" t="inlineStr">
        <is>
          <t>AUD</t>
        </is>
      </c>
      <c r="E1340" t="inlineStr">
        <is>
          <t>ASX</t>
        </is>
      </c>
    </row>
    <row r="1341">
      <c r="B1341" t="inlineStr">
        <is>
          <t>MPA</t>
        </is>
      </c>
      <c r="C1341" t="inlineStr">
        <is>
          <t>Mad Paws Holdings Ltd</t>
        </is>
      </c>
      <c r="D1341" t="inlineStr">
        <is>
          <t>AUD</t>
        </is>
      </c>
      <c r="E1341" t="inlineStr">
        <is>
          <t>ASX</t>
        </is>
      </c>
    </row>
    <row r="1342">
      <c r="B1342" t="inlineStr">
        <is>
          <t>TAM</t>
        </is>
      </c>
      <c r="C1342" t="inlineStr">
        <is>
          <t>Tanami Gold NL</t>
        </is>
      </c>
      <c r="D1342" t="inlineStr">
        <is>
          <t>AUD</t>
        </is>
      </c>
      <c r="E1342" t="inlineStr">
        <is>
          <t>ASX</t>
        </is>
      </c>
    </row>
    <row r="1343">
      <c r="B1343" t="inlineStr">
        <is>
          <t>GAP</t>
        </is>
      </c>
      <c r="C1343" t="inlineStr">
        <is>
          <t>Gale Pacific Ltd</t>
        </is>
      </c>
      <c r="D1343" t="inlineStr">
        <is>
          <t>AUD</t>
        </is>
      </c>
      <c r="E1343" t="inlineStr">
        <is>
          <t>ASX</t>
        </is>
      </c>
    </row>
    <row r="1344">
      <c r="B1344" t="inlineStr">
        <is>
          <t>EIGA</t>
        </is>
      </c>
      <c r="C1344" t="inlineStr">
        <is>
          <t>Perennial Income Generator Fund (Managed Fund)</t>
        </is>
      </c>
      <c r="D1344" t="inlineStr">
        <is>
          <t>AUD</t>
        </is>
      </c>
      <c r="E1344" t="inlineStr">
        <is>
          <t>ASX</t>
        </is>
      </c>
    </row>
    <row r="1345">
      <c r="B1345" t="inlineStr">
        <is>
          <t>GAL</t>
        </is>
      </c>
      <c r="C1345" t="inlineStr">
        <is>
          <t>Galileo Mining Ltd</t>
        </is>
      </c>
      <c r="D1345" t="inlineStr">
        <is>
          <t>AUD</t>
        </is>
      </c>
      <c r="E1345" t="inlineStr">
        <is>
          <t>ASX</t>
        </is>
      </c>
    </row>
    <row r="1346">
      <c r="B1346" t="inlineStr">
        <is>
          <t>ENL</t>
        </is>
      </c>
      <c r="C1346" t="inlineStr">
        <is>
          <t>Enlitic Inc</t>
        </is>
      </c>
      <c r="D1346" t="inlineStr">
        <is>
          <t>AUD</t>
        </is>
      </c>
      <c r="E1346" t="inlineStr">
        <is>
          <t>ASX</t>
        </is>
      </c>
    </row>
    <row r="1347">
      <c r="B1347" t="inlineStr">
        <is>
          <t>AII</t>
        </is>
      </c>
      <c r="C1347" t="inlineStr">
        <is>
          <t>Almonty Industries Inc</t>
        </is>
      </c>
      <c r="D1347" t="inlineStr">
        <is>
          <t>AUD</t>
        </is>
      </c>
      <c r="E1347" t="inlineStr">
        <is>
          <t>ASX</t>
        </is>
      </c>
    </row>
    <row r="1348">
      <c r="B1348" t="inlineStr">
        <is>
          <t>MFD</t>
        </is>
      </c>
      <c r="C1348" t="inlineStr">
        <is>
          <t>Mayfield Childcare Ltd</t>
        </is>
      </c>
      <c r="D1348" t="inlineStr">
        <is>
          <t>AUD</t>
        </is>
      </c>
      <c r="E1348" t="inlineStr">
        <is>
          <t>ASX</t>
        </is>
      </c>
    </row>
    <row r="1349">
      <c r="B1349" t="inlineStr">
        <is>
          <t>DBBF</t>
        </is>
      </c>
      <c r="C1349" t="inlineStr">
        <is>
          <t>Betashares Ethical Diversified Balanced ETF</t>
        </is>
      </c>
      <c r="D1349" t="inlineStr">
        <is>
          <t>AUD</t>
        </is>
      </c>
      <c r="E1349" t="inlineStr">
        <is>
          <t>ASX</t>
        </is>
      </c>
    </row>
    <row r="1350">
      <c r="B1350" t="inlineStr">
        <is>
          <t>GTI</t>
        </is>
      </c>
      <c r="C1350" t="inlineStr">
        <is>
          <t>Gratifii Ltd</t>
        </is>
      </c>
      <c r="D1350" t="inlineStr">
        <is>
          <t>AUD</t>
        </is>
      </c>
      <c r="E1350" t="inlineStr">
        <is>
          <t>ASX</t>
        </is>
      </c>
    </row>
    <row r="1351">
      <c r="B1351" t="inlineStr">
        <is>
          <t>AUST</t>
        </is>
      </c>
      <c r="C1351" t="inlineStr">
        <is>
          <t>Betashares Managed Risk AUS SH Fund (Managed Fund)</t>
        </is>
      </c>
      <c r="D1351" t="inlineStr">
        <is>
          <t>AUD</t>
        </is>
      </c>
      <c r="E1351" t="inlineStr">
        <is>
          <t>ASX</t>
        </is>
      </c>
    </row>
    <row r="1352">
      <c r="B1352" t="inlineStr">
        <is>
          <t>I88</t>
        </is>
      </c>
      <c r="C1352" t="inlineStr">
        <is>
          <t>Infini Resources Ltd</t>
        </is>
      </c>
      <c r="D1352" t="inlineStr">
        <is>
          <t>AUD</t>
        </is>
      </c>
      <c r="E1352" t="inlineStr">
        <is>
          <t>ASX</t>
        </is>
      </c>
    </row>
    <row r="1353">
      <c r="B1353" t="inlineStr">
        <is>
          <t>DEM</t>
        </is>
      </c>
      <c r="C1353" t="inlineStr">
        <is>
          <t>De.Mem Ltd</t>
        </is>
      </c>
      <c r="D1353" t="inlineStr">
        <is>
          <t>AUD</t>
        </is>
      </c>
      <c r="E1353" t="inlineStr">
        <is>
          <t>ASX</t>
        </is>
      </c>
    </row>
    <row r="1354">
      <c r="B1354" t="inlineStr">
        <is>
          <t>SGQ</t>
        </is>
      </c>
      <c r="C1354" t="inlineStr">
        <is>
          <t>ST George Mining Ltd</t>
        </is>
      </c>
      <c r="D1354" t="inlineStr">
        <is>
          <t>AUD</t>
        </is>
      </c>
      <c r="E1354" t="inlineStr">
        <is>
          <t>ASX</t>
        </is>
      </c>
    </row>
    <row r="1355">
      <c r="B1355" t="inlineStr">
        <is>
          <t>AVA</t>
        </is>
      </c>
      <c r="C1355" t="inlineStr">
        <is>
          <t>AVA Risk Group Ltd</t>
        </is>
      </c>
      <c r="D1355" t="inlineStr">
        <is>
          <t>AUD</t>
        </is>
      </c>
      <c r="E1355" t="inlineStr">
        <is>
          <t>ASX</t>
        </is>
      </c>
    </row>
    <row r="1356">
      <c r="B1356" t="inlineStr">
        <is>
          <t>AUN</t>
        </is>
      </c>
      <c r="C1356" t="inlineStr">
        <is>
          <t>Aurumin Ltd</t>
        </is>
      </c>
      <c r="D1356" t="inlineStr">
        <is>
          <t>AUD</t>
        </is>
      </c>
      <c r="E1356" t="inlineStr">
        <is>
          <t>ASX</t>
        </is>
      </c>
    </row>
    <row r="1357">
      <c r="B1357" t="inlineStr">
        <is>
          <t>FRM</t>
        </is>
      </c>
      <c r="C1357" t="inlineStr">
        <is>
          <t>Farm Pride Foods Ltd</t>
        </is>
      </c>
      <c r="D1357" t="inlineStr">
        <is>
          <t>AUD</t>
        </is>
      </c>
      <c r="E1357" t="inlineStr">
        <is>
          <t>ASX</t>
        </is>
      </c>
    </row>
    <row r="1358">
      <c r="B1358" t="inlineStr">
        <is>
          <t>ATX</t>
        </is>
      </c>
      <c r="C1358" t="inlineStr">
        <is>
          <t>Amplia Therapeutics Ltd</t>
        </is>
      </c>
      <c r="D1358" t="inlineStr">
        <is>
          <t>AUD</t>
        </is>
      </c>
      <c r="E1358" t="inlineStr">
        <is>
          <t>ASX</t>
        </is>
      </c>
    </row>
    <row r="1359">
      <c r="B1359" t="inlineStr">
        <is>
          <t>A3D</t>
        </is>
      </c>
      <c r="C1359" t="inlineStr">
        <is>
          <t>Aurora Labs Ltd</t>
        </is>
      </c>
      <c r="D1359" t="inlineStr">
        <is>
          <t>AUD</t>
        </is>
      </c>
      <c r="E1359" t="inlineStr">
        <is>
          <t>ASX</t>
        </is>
      </c>
    </row>
    <row r="1360">
      <c r="B1360" t="inlineStr">
        <is>
          <t>SNS</t>
        </is>
      </c>
      <c r="C1360" t="inlineStr">
        <is>
          <t>Sensen Networks Ltd</t>
        </is>
      </c>
      <c r="D1360" t="inlineStr">
        <is>
          <t>AUD</t>
        </is>
      </c>
      <c r="E1360" t="inlineStr">
        <is>
          <t>ASX</t>
        </is>
      </c>
    </row>
    <row r="1361">
      <c r="B1361" t="inlineStr">
        <is>
          <t>VMM</t>
        </is>
      </c>
      <c r="C1361" t="inlineStr">
        <is>
          <t>Viridis Mining and Minerals Ltd</t>
        </is>
      </c>
      <c r="D1361" t="inlineStr">
        <is>
          <t>AUD</t>
        </is>
      </c>
      <c r="E1361" t="inlineStr">
        <is>
          <t>ASX</t>
        </is>
      </c>
    </row>
    <row r="1362">
      <c r="B1362" t="inlineStr">
        <is>
          <t>LDX</t>
        </is>
      </c>
      <c r="C1362" t="inlineStr">
        <is>
          <t>Lumos Diagnostics Holdings Ltd</t>
        </is>
      </c>
      <c r="D1362" t="inlineStr">
        <is>
          <t>AUD</t>
        </is>
      </c>
      <c r="E1362" t="inlineStr">
        <is>
          <t>ASX</t>
        </is>
      </c>
    </row>
    <row r="1363">
      <c r="B1363" t="inlineStr">
        <is>
          <t>WAK</t>
        </is>
      </c>
      <c r="C1363" t="inlineStr">
        <is>
          <t>Wa Kaolin Ltd</t>
        </is>
      </c>
      <c r="D1363" t="inlineStr">
        <is>
          <t>AUD</t>
        </is>
      </c>
      <c r="E1363" t="inlineStr">
        <is>
          <t>ASX</t>
        </is>
      </c>
    </row>
    <row r="1364">
      <c r="B1364" t="inlineStr">
        <is>
          <t>IXR</t>
        </is>
      </c>
      <c r="C1364" t="inlineStr">
        <is>
          <t>Ionic Rare EARTHS Ltd</t>
        </is>
      </c>
      <c r="D1364" t="inlineStr">
        <is>
          <t>AUD</t>
        </is>
      </c>
      <c r="E1364" t="inlineStr">
        <is>
          <t>ASX</t>
        </is>
      </c>
    </row>
    <row r="1365">
      <c r="B1365" t="inlineStr">
        <is>
          <t>EMC</t>
        </is>
      </c>
      <c r="C1365" t="inlineStr">
        <is>
          <t>Everest Metals Corporation Ltd</t>
        </is>
      </c>
      <c r="D1365" t="inlineStr">
        <is>
          <t>AUD</t>
        </is>
      </c>
      <c r="E1365" t="inlineStr">
        <is>
          <t>ASX</t>
        </is>
      </c>
    </row>
    <row r="1366">
      <c r="B1366" t="inlineStr">
        <is>
          <t>TRE</t>
        </is>
      </c>
      <c r="C1366" t="inlineStr">
        <is>
          <t>Toubani Resources Ltd</t>
        </is>
      </c>
      <c r="D1366" t="inlineStr">
        <is>
          <t>AUD</t>
        </is>
      </c>
      <c r="E1366" t="inlineStr">
        <is>
          <t>ASX</t>
        </is>
      </c>
    </row>
    <row r="1367">
      <c r="B1367" t="inlineStr">
        <is>
          <t>DEL</t>
        </is>
      </c>
      <c r="C1367" t="inlineStr">
        <is>
          <t>Delorean Corporation Ltd</t>
        </is>
      </c>
      <c r="D1367" t="inlineStr">
        <is>
          <t>AUD</t>
        </is>
      </c>
      <c r="E1367" t="inlineStr">
        <is>
          <t>ASX</t>
        </is>
      </c>
    </row>
    <row r="1368">
      <c r="B1368" t="inlineStr">
        <is>
          <t>BEZ</t>
        </is>
      </c>
      <c r="C1368" t="inlineStr">
        <is>
          <t>Besra Gold Inc</t>
        </is>
      </c>
      <c r="D1368" t="inlineStr">
        <is>
          <t>AUD</t>
        </is>
      </c>
      <c r="E1368" t="inlineStr">
        <is>
          <t>ASX</t>
        </is>
      </c>
    </row>
    <row r="1369">
      <c r="B1369" t="inlineStr">
        <is>
          <t>HCRD</t>
        </is>
      </c>
      <c r="C1369" t="inlineStr">
        <is>
          <t>Betashares Interest Rate Hedged Aus Corp Bond ETF</t>
        </is>
      </c>
      <c r="D1369" t="inlineStr">
        <is>
          <t>AUD</t>
        </is>
      </c>
      <c r="E1369" t="inlineStr">
        <is>
          <t>ASX</t>
        </is>
      </c>
    </row>
    <row r="1370">
      <c r="B1370" t="inlineStr">
        <is>
          <t>CAE</t>
        </is>
      </c>
      <c r="C1370" t="inlineStr">
        <is>
          <t>Cannindah Resources Ltd</t>
        </is>
      </c>
      <c r="D1370" t="inlineStr">
        <is>
          <t>AUD</t>
        </is>
      </c>
      <c r="E1370" t="inlineStr">
        <is>
          <t>ASX</t>
        </is>
      </c>
    </row>
    <row r="1371">
      <c r="B1371" t="inlineStr">
        <is>
          <t>MCGG</t>
        </is>
      </c>
      <c r="C1371" t="inlineStr">
        <is>
          <t>Munro Concentrated Global Growth Active ETF</t>
        </is>
      </c>
      <c r="D1371" t="inlineStr">
        <is>
          <t>AUD</t>
        </is>
      </c>
      <c r="E1371" t="inlineStr">
        <is>
          <t>ASX</t>
        </is>
      </c>
    </row>
    <row r="1372">
      <c r="B1372" t="inlineStr">
        <is>
          <t>HGEN</t>
        </is>
      </c>
      <c r="C1372" t="inlineStr">
        <is>
          <t>Global X Hydrogen ETF</t>
        </is>
      </c>
      <c r="D1372" t="inlineStr">
        <is>
          <t>AUD</t>
        </is>
      </c>
      <c r="E1372" t="inlineStr">
        <is>
          <t>ASX</t>
        </is>
      </c>
    </row>
    <row r="1373">
      <c r="B1373" t="inlineStr">
        <is>
          <t>MI6</t>
        </is>
      </c>
      <c r="C1373" t="inlineStr">
        <is>
          <t>Minerals 260 Ltd</t>
        </is>
      </c>
      <c r="D1373" t="inlineStr">
        <is>
          <t>AUD</t>
        </is>
      </c>
      <c r="E1373" t="inlineStr">
        <is>
          <t>ASX</t>
        </is>
      </c>
    </row>
    <row r="1374">
      <c r="B1374" t="inlineStr">
        <is>
          <t>WTM</t>
        </is>
      </c>
      <c r="C1374" t="inlineStr">
        <is>
          <t>Waratah Minerals Ltd</t>
        </is>
      </c>
      <c r="D1374" t="inlineStr">
        <is>
          <t>AUD</t>
        </is>
      </c>
      <c r="E1374" t="inlineStr">
        <is>
          <t>ASX</t>
        </is>
      </c>
    </row>
    <row r="1375">
      <c r="B1375" t="inlineStr">
        <is>
          <t>NTD</t>
        </is>
      </c>
      <c r="C1375" t="inlineStr">
        <is>
          <t>Ntaw Holdings Ltd</t>
        </is>
      </c>
      <c r="D1375" t="inlineStr">
        <is>
          <t>AUD</t>
        </is>
      </c>
      <c r="E1375" t="inlineStr">
        <is>
          <t>ASX</t>
        </is>
      </c>
    </row>
    <row r="1376">
      <c r="B1376" t="inlineStr">
        <is>
          <t>A1G</t>
        </is>
      </c>
      <c r="C1376" t="inlineStr">
        <is>
          <t>African Gold Ltd</t>
        </is>
      </c>
      <c r="D1376" t="inlineStr">
        <is>
          <t>AUD</t>
        </is>
      </c>
      <c r="E1376" t="inlineStr">
        <is>
          <t>ASX</t>
        </is>
      </c>
    </row>
    <row r="1377">
      <c r="B1377" t="inlineStr">
        <is>
          <t>ILA</t>
        </is>
      </c>
      <c r="C1377" t="inlineStr">
        <is>
          <t>Island Pharmaceuticals Ltd</t>
        </is>
      </c>
      <c r="D1377" t="inlineStr">
        <is>
          <t>AUD</t>
        </is>
      </c>
      <c r="E1377" t="inlineStr">
        <is>
          <t>ASX</t>
        </is>
      </c>
    </row>
    <row r="1378">
      <c r="B1378" t="inlineStr">
        <is>
          <t>CC5</t>
        </is>
      </c>
      <c r="C1378" t="inlineStr">
        <is>
          <t>Clever Culture Systems Ltd</t>
        </is>
      </c>
      <c r="D1378" t="inlineStr">
        <is>
          <t>AUD</t>
        </is>
      </c>
      <c r="E1378" t="inlineStr">
        <is>
          <t>ASX</t>
        </is>
      </c>
    </row>
    <row r="1379">
      <c r="B1379" t="inlineStr">
        <is>
          <t>VNGS</t>
        </is>
      </c>
      <c r="C1379" t="inlineStr">
        <is>
          <t>Vaughan Nelson Global Smid Fund (Managed Fund)</t>
        </is>
      </c>
      <c r="D1379" t="inlineStr">
        <is>
          <t>AUD</t>
        </is>
      </c>
      <c r="E1379" t="inlineStr">
        <is>
          <t>ASX</t>
        </is>
      </c>
    </row>
    <row r="1380">
      <c r="B1380" t="inlineStr">
        <is>
          <t>JRV</t>
        </is>
      </c>
      <c r="C1380" t="inlineStr">
        <is>
          <t>Jervois Global Ltd</t>
        </is>
      </c>
      <c r="D1380" t="inlineStr">
        <is>
          <t>AUD</t>
        </is>
      </c>
      <c r="E1380" t="inlineStr">
        <is>
          <t>ASX</t>
        </is>
      </c>
    </row>
    <row r="1381">
      <c r="B1381" t="inlineStr">
        <is>
          <t>GHHF</t>
        </is>
      </c>
      <c r="C1381" t="inlineStr">
        <is>
          <t>Betashares Wealthbuilder All GR Geared Complex ETF</t>
        </is>
      </c>
      <c r="D1381" t="inlineStr">
        <is>
          <t>AUD</t>
        </is>
      </c>
      <c r="E1381" t="inlineStr">
        <is>
          <t>ASX</t>
        </is>
      </c>
    </row>
    <row r="1382">
      <c r="B1382" t="inlineStr">
        <is>
          <t>TDO</t>
        </is>
      </c>
      <c r="C1382" t="inlineStr">
        <is>
          <t>3D Energi Ltd</t>
        </is>
      </c>
      <c r="D1382" t="inlineStr">
        <is>
          <t>AUD</t>
        </is>
      </c>
      <c r="E1382" t="inlineStr">
        <is>
          <t>ASX</t>
        </is>
      </c>
    </row>
    <row r="1383">
      <c r="B1383" t="inlineStr">
        <is>
          <t>MTC</t>
        </is>
      </c>
      <c r="C1383" t="inlineStr">
        <is>
          <t>Metalstech Ltd</t>
        </is>
      </c>
      <c r="D1383" t="inlineStr">
        <is>
          <t>AUD</t>
        </is>
      </c>
      <c r="E1383" t="inlineStr">
        <is>
          <t>ASX</t>
        </is>
      </c>
    </row>
    <row r="1384">
      <c r="B1384" t="inlineStr">
        <is>
          <t>CCG</t>
        </is>
      </c>
      <c r="C1384" t="inlineStr">
        <is>
          <t>Comms Group Ltd</t>
        </is>
      </c>
      <c r="D1384" t="inlineStr">
        <is>
          <t>AUD</t>
        </is>
      </c>
      <c r="E1384" t="inlineStr">
        <is>
          <t>ASX</t>
        </is>
      </c>
    </row>
    <row r="1385">
      <c r="B1385" t="inlineStr">
        <is>
          <t>RTG</t>
        </is>
      </c>
      <c r="C1385" t="inlineStr">
        <is>
          <t>RTG Mining Inc</t>
        </is>
      </c>
      <c r="D1385" t="inlineStr">
        <is>
          <t>AUD</t>
        </is>
      </c>
      <c r="E1385" t="inlineStr">
        <is>
          <t>ASX</t>
        </is>
      </c>
    </row>
    <row r="1386">
      <c r="B1386" t="inlineStr">
        <is>
          <t>NOX</t>
        </is>
      </c>
      <c r="C1386" t="inlineStr">
        <is>
          <t>Noxopharm Ltd</t>
        </is>
      </c>
      <c r="D1386" t="inlineStr">
        <is>
          <t>AUD</t>
        </is>
      </c>
      <c r="E1386" t="inlineStr">
        <is>
          <t>ASX</t>
        </is>
      </c>
    </row>
    <row r="1387">
      <c r="B1387" t="inlineStr">
        <is>
          <t>LEG</t>
        </is>
      </c>
      <c r="C1387" t="inlineStr">
        <is>
          <t>Legend Mining Ltd</t>
        </is>
      </c>
      <c r="D1387" t="inlineStr">
        <is>
          <t>AUD</t>
        </is>
      </c>
      <c r="E1387" t="inlineStr">
        <is>
          <t>ASX</t>
        </is>
      </c>
    </row>
    <row r="1388">
      <c r="B1388" t="inlineStr">
        <is>
          <t>EMH</t>
        </is>
      </c>
      <c r="C1388" t="inlineStr">
        <is>
          <t>European Metals Holdings Ltd</t>
        </is>
      </c>
      <c r="D1388" t="inlineStr">
        <is>
          <t>AUD</t>
        </is>
      </c>
      <c r="E1388" t="inlineStr">
        <is>
          <t>ASX</t>
        </is>
      </c>
    </row>
    <row r="1389">
      <c r="B1389" t="inlineStr">
        <is>
          <t>AXN</t>
        </is>
      </c>
      <c r="C1389" t="inlineStr">
        <is>
          <t>Alliance Nickel Ltd</t>
        </is>
      </c>
      <c r="D1389" t="inlineStr">
        <is>
          <t>AUD</t>
        </is>
      </c>
      <c r="E1389" t="inlineStr">
        <is>
          <t>ASX</t>
        </is>
      </c>
    </row>
    <row r="1390">
      <c r="B1390" t="inlineStr">
        <is>
          <t>COV</t>
        </is>
      </c>
      <c r="C1390" t="inlineStr">
        <is>
          <t>Cleo Diagnostics Ltd</t>
        </is>
      </c>
      <c r="D1390" t="inlineStr">
        <is>
          <t>AUD</t>
        </is>
      </c>
      <c r="E1390" t="inlineStr">
        <is>
          <t>ASX</t>
        </is>
      </c>
    </row>
    <row r="1391">
      <c r="B1391" t="inlineStr">
        <is>
          <t>FGH</t>
        </is>
      </c>
      <c r="C1391" t="inlineStr">
        <is>
          <t>Foresta Group Holdings Ltd</t>
        </is>
      </c>
      <c r="D1391" t="inlineStr">
        <is>
          <t>AUD</t>
        </is>
      </c>
      <c r="E1391" t="inlineStr">
        <is>
          <t>ASX</t>
        </is>
      </c>
    </row>
    <row r="1392">
      <c r="B1392" t="inlineStr">
        <is>
          <t>GWR</t>
        </is>
      </c>
      <c r="C1392" t="inlineStr">
        <is>
          <t>GWR Group Ltd</t>
        </is>
      </c>
      <c r="D1392" t="inlineStr">
        <is>
          <t>AUD</t>
        </is>
      </c>
      <c r="E1392" t="inlineStr">
        <is>
          <t>ASX</t>
        </is>
      </c>
    </row>
    <row r="1393">
      <c r="B1393" t="inlineStr">
        <is>
          <t>GEN</t>
        </is>
      </c>
      <c r="C1393" t="inlineStr">
        <is>
          <t>Genmin Ltd</t>
        </is>
      </c>
      <c r="D1393" t="inlineStr">
        <is>
          <t>AUD</t>
        </is>
      </c>
      <c r="E1393" t="inlineStr">
        <is>
          <t>ASX</t>
        </is>
      </c>
    </row>
    <row r="1394">
      <c r="B1394" t="inlineStr">
        <is>
          <t>GCAP</t>
        </is>
      </c>
      <c r="C1394" t="inlineStr">
        <is>
          <t>Vaneck Bentham GL Cap Se Active ETF (Managed Fund)</t>
        </is>
      </c>
      <c r="D1394" t="inlineStr">
        <is>
          <t>AUD</t>
        </is>
      </c>
      <c r="E1394" t="inlineStr">
        <is>
          <t>ASX</t>
        </is>
      </c>
    </row>
    <row r="1395">
      <c r="B1395" t="inlineStr">
        <is>
          <t>AEV</t>
        </is>
      </c>
      <c r="C1395" t="inlineStr">
        <is>
          <t>Avenira Ltd</t>
        </is>
      </c>
      <c r="D1395" t="inlineStr">
        <is>
          <t>AUD</t>
        </is>
      </c>
      <c r="E1395" t="inlineStr">
        <is>
          <t>ASX</t>
        </is>
      </c>
    </row>
    <row r="1396">
      <c r="B1396" t="inlineStr">
        <is>
          <t>UBN</t>
        </is>
      </c>
      <c r="C1396" t="inlineStr">
        <is>
          <t>Urbanise.com Ltd</t>
        </is>
      </c>
      <c r="D1396" t="inlineStr">
        <is>
          <t>AUD</t>
        </is>
      </c>
      <c r="E1396" t="inlineStr">
        <is>
          <t>ASX</t>
        </is>
      </c>
    </row>
    <row r="1397">
      <c r="B1397" t="inlineStr">
        <is>
          <t>PGA1</t>
        </is>
      </c>
      <c r="C1397" t="inlineStr">
        <is>
          <t>Plato Global Alpha Fund Complex ETF</t>
        </is>
      </c>
      <c r="D1397" t="inlineStr">
        <is>
          <t>AUD</t>
        </is>
      </c>
      <c r="E1397" t="inlineStr">
        <is>
          <t>ASX</t>
        </is>
      </c>
    </row>
    <row r="1398">
      <c r="B1398" t="inlineStr">
        <is>
          <t>COB</t>
        </is>
      </c>
      <c r="C1398" t="inlineStr">
        <is>
          <t>Cobalt Blue Holdings Ltd</t>
        </is>
      </c>
      <c r="D1398" t="inlineStr">
        <is>
          <t>AUD</t>
        </is>
      </c>
      <c r="E1398" t="inlineStr">
        <is>
          <t>ASX</t>
        </is>
      </c>
    </row>
    <row r="1399">
      <c r="B1399" t="inlineStr">
        <is>
          <t>IAM</t>
        </is>
      </c>
      <c r="C1399" t="inlineStr">
        <is>
          <t>Income Asset Management Group Ltd</t>
        </is>
      </c>
      <c r="D1399" t="inlineStr">
        <is>
          <t>AUD</t>
        </is>
      </c>
      <c r="E1399" t="inlineStr">
        <is>
          <t>ASX</t>
        </is>
      </c>
    </row>
    <row r="1400">
      <c r="B1400" t="inlineStr">
        <is>
          <t>KP2</t>
        </is>
      </c>
      <c r="C1400" t="inlineStr">
        <is>
          <t>Kore Potash Plc</t>
        </is>
      </c>
      <c r="D1400" t="inlineStr">
        <is>
          <t>AUD</t>
        </is>
      </c>
      <c r="E1400" t="inlineStr">
        <is>
          <t>ASX</t>
        </is>
      </c>
    </row>
    <row r="1401">
      <c r="B1401" t="inlineStr">
        <is>
          <t>RHY</t>
        </is>
      </c>
      <c r="C1401" t="inlineStr">
        <is>
          <t>RHYTHM Biosciences Ltd</t>
        </is>
      </c>
      <c r="D1401" t="inlineStr">
        <is>
          <t>AUD</t>
        </is>
      </c>
      <c r="E1401" t="inlineStr">
        <is>
          <t>ASX</t>
        </is>
      </c>
    </row>
    <row r="1402">
      <c r="B1402" t="inlineStr">
        <is>
          <t>G50</t>
        </is>
      </c>
      <c r="C1402" t="inlineStr">
        <is>
          <t>G50 Corp Ltd</t>
        </is>
      </c>
      <c r="D1402" t="inlineStr">
        <is>
          <t>AUD</t>
        </is>
      </c>
      <c r="E1402" t="inlineStr">
        <is>
          <t>ASX</t>
        </is>
      </c>
    </row>
    <row r="1403">
      <c r="B1403" t="inlineStr">
        <is>
          <t>NXD</t>
        </is>
      </c>
      <c r="C1403" t="inlineStr">
        <is>
          <t>Nexted Group Ltd</t>
        </is>
      </c>
      <c r="D1403" t="inlineStr">
        <is>
          <t>AUD</t>
        </is>
      </c>
      <c r="E1403" t="inlineStr">
        <is>
          <t>ASX</t>
        </is>
      </c>
    </row>
    <row r="1404">
      <c r="B1404" t="inlineStr">
        <is>
          <t>CG1</t>
        </is>
      </c>
      <c r="C1404" t="inlineStr">
        <is>
          <t>Carbonxt Group Ltd</t>
        </is>
      </c>
      <c r="D1404" t="inlineStr">
        <is>
          <t>AUD</t>
        </is>
      </c>
      <c r="E1404" t="inlineStr">
        <is>
          <t>ASX</t>
        </is>
      </c>
    </row>
    <row r="1405">
      <c r="B1405" t="inlineStr">
        <is>
          <t>CD1</t>
        </is>
      </c>
      <c r="C1405" t="inlineStr">
        <is>
          <t>CD Private Equity Fund I</t>
        </is>
      </c>
      <c r="D1405" t="inlineStr">
        <is>
          <t>AUD</t>
        </is>
      </c>
      <c r="E1405" t="inlineStr">
        <is>
          <t>ASX</t>
        </is>
      </c>
    </row>
    <row r="1406">
      <c r="B1406" t="inlineStr">
        <is>
          <t>LPE</t>
        </is>
      </c>
      <c r="C1406" t="inlineStr">
        <is>
          <t>Locality Planning Energy Holdings Ltd</t>
        </is>
      </c>
      <c r="D1406" t="inlineStr">
        <is>
          <t>AUD</t>
        </is>
      </c>
      <c r="E1406" t="inlineStr">
        <is>
          <t>ASX</t>
        </is>
      </c>
    </row>
    <row r="1407">
      <c r="B1407" t="inlineStr">
        <is>
          <t>RMY</t>
        </is>
      </c>
      <c r="C1407" t="inlineStr">
        <is>
          <t>Rma Global Ltd</t>
        </is>
      </c>
      <c r="D1407" t="inlineStr">
        <is>
          <t>AUD</t>
        </is>
      </c>
      <c r="E1407" t="inlineStr">
        <is>
          <t>ASX</t>
        </is>
      </c>
    </row>
    <row r="1408">
      <c r="B1408" t="inlineStr">
        <is>
          <t>SSO</t>
        </is>
      </c>
      <c r="C1408" t="inlineStr">
        <is>
          <t>SPDR S&amp;P/ASX Small Ordinaries Fund</t>
        </is>
      </c>
      <c r="D1408" t="inlineStr">
        <is>
          <t>AUD</t>
        </is>
      </c>
      <c r="E1408" t="inlineStr">
        <is>
          <t>ASX</t>
        </is>
      </c>
    </row>
    <row r="1409">
      <c r="B1409" t="inlineStr">
        <is>
          <t>LCE</t>
        </is>
      </c>
      <c r="C1409" t="inlineStr">
        <is>
          <t>London City Equities Ltd</t>
        </is>
      </c>
      <c r="D1409" t="inlineStr">
        <is>
          <t>AUD</t>
        </is>
      </c>
      <c r="E1409" t="inlineStr">
        <is>
          <t>ASX</t>
        </is>
      </c>
    </row>
    <row r="1410">
      <c r="B1410" t="inlineStr">
        <is>
          <t>ECP</t>
        </is>
      </c>
      <c r="C1410" t="inlineStr">
        <is>
          <t>ECP Emerging Growth Ltd</t>
        </is>
      </c>
      <c r="D1410" t="inlineStr">
        <is>
          <t>AUD</t>
        </is>
      </c>
      <c r="E1410" t="inlineStr">
        <is>
          <t>ASX</t>
        </is>
      </c>
    </row>
    <row r="1411">
      <c r="B1411" t="inlineStr">
        <is>
          <t>DOC</t>
        </is>
      </c>
      <c r="C1411" t="inlineStr">
        <is>
          <t>Doctor Care Anywhere Group Plc</t>
        </is>
      </c>
      <c r="D1411" t="inlineStr">
        <is>
          <t>AUD</t>
        </is>
      </c>
      <c r="E1411" t="inlineStr">
        <is>
          <t>ASX</t>
        </is>
      </c>
    </row>
    <row r="1412">
      <c r="B1412" t="inlineStr">
        <is>
          <t>SRT</t>
        </is>
      </c>
      <c r="C1412" t="inlineStr">
        <is>
          <t>Strata Investment Holdings Plc</t>
        </is>
      </c>
      <c r="D1412" t="inlineStr">
        <is>
          <t>AUD</t>
        </is>
      </c>
      <c r="E1412" t="inlineStr">
        <is>
          <t>ASX</t>
        </is>
      </c>
    </row>
    <row r="1413">
      <c r="B1413" t="inlineStr">
        <is>
          <t>AMX</t>
        </is>
      </c>
      <c r="C1413" t="inlineStr">
        <is>
          <t>Aerometrex Ltd</t>
        </is>
      </c>
      <c r="D1413" t="inlineStr">
        <is>
          <t>AUD</t>
        </is>
      </c>
      <c r="E1413" t="inlineStr">
        <is>
          <t>ASX</t>
        </is>
      </c>
    </row>
    <row r="1414">
      <c r="B1414" t="inlineStr">
        <is>
          <t>NIM</t>
        </is>
      </c>
      <c r="C1414" t="inlineStr">
        <is>
          <t>Nimy Resources Ltd</t>
        </is>
      </c>
      <c r="D1414" t="inlineStr">
        <is>
          <t>AUD</t>
        </is>
      </c>
      <c r="E1414" t="inlineStr">
        <is>
          <t>ASX</t>
        </is>
      </c>
    </row>
    <row r="1415">
      <c r="B1415" t="inlineStr">
        <is>
          <t>5EA</t>
        </is>
      </c>
      <c r="C1415" t="inlineStr">
        <is>
          <t>5E Advanced Materials Inc</t>
        </is>
      </c>
      <c r="D1415" t="inlineStr">
        <is>
          <t>AUD</t>
        </is>
      </c>
      <c r="E1415" t="inlineStr">
        <is>
          <t>ASX</t>
        </is>
      </c>
    </row>
    <row r="1416">
      <c r="B1416" t="inlineStr">
        <is>
          <t>NCC</t>
        </is>
      </c>
      <c r="C1416" t="inlineStr">
        <is>
          <t>Naos Emerging Opportunities Company Ltd</t>
        </is>
      </c>
      <c r="D1416" t="inlineStr">
        <is>
          <t>AUD</t>
        </is>
      </c>
      <c r="E1416" t="inlineStr">
        <is>
          <t>ASX</t>
        </is>
      </c>
    </row>
    <row r="1417">
      <c r="B1417" t="inlineStr">
        <is>
          <t>CLA</t>
        </is>
      </c>
      <c r="C1417" t="inlineStr">
        <is>
          <t>Celsius Resources Ltd</t>
        </is>
      </c>
      <c r="D1417" t="inlineStr">
        <is>
          <t>AUD</t>
        </is>
      </c>
      <c r="E1417" t="inlineStr">
        <is>
          <t>ASX</t>
        </is>
      </c>
    </row>
    <row r="1418">
      <c r="B1418" t="inlineStr">
        <is>
          <t>EMMG</t>
        </is>
      </c>
      <c r="C1418" t="inlineStr">
        <is>
          <t>Betashares Martin Currie Em Fund (Managed Fund)</t>
        </is>
      </c>
      <c r="D1418" t="inlineStr">
        <is>
          <t>AUD</t>
        </is>
      </c>
      <c r="E1418" t="inlineStr">
        <is>
          <t>ASX</t>
        </is>
      </c>
    </row>
    <row r="1419">
      <c r="B1419" t="inlineStr">
        <is>
          <t>HMX</t>
        </is>
      </c>
      <c r="C1419" t="inlineStr">
        <is>
          <t>Hammer Metals Ltd</t>
        </is>
      </c>
      <c r="D1419" t="inlineStr">
        <is>
          <t>AUD</t>
        </is>
      </c>
      <c r="E1419" t="inlineStr">
        <is>
          <t>ASX</t>
        </is>
      </c>
    </row>
    <row r="1420">
      <c r="B1420" t="inlineStr">
        <is>
          <t>CIW</t>
        </is>
      </c>
      <c r="C1420" t="inlineStr">
        <is>
          <t>Clime Investment Management Ltd</t>
        </is>
      </c>
      <c r="D1420" t="inlineStr">
        <is>
          <t>AUD</t>
        </is>
      </c>
      <c r="E1420" t="inlineStr">
        <is>
          <t>ASX</t>
        </is>
      </c>
    </row>
    <row r="1421">
      <c r="B1421" t="inlineStr">
        <is>
          <t>SRL</t>
        </is>
      </c>
      <c r="C1421" t="inlineStr">
        <is>
          <t>Sunrise Energy Metals Ltd</t>
        </is>
      </c>
      <c r="D1421" t="inlineStr">
        <is>
          <t>AUD</t>
        </is>
      </c>
      <c r="E1421" t="inlineStr">
        <is>
          <t>ASX</t>
        </is>
      </c>
    </row>
    <row r="1422">
      <c r="B1422" t="inlineStr">
        <is>
          <t>MXR</t>
        </is>
      </c>
      <c r="C1422" t="inlineStr">
        <is>
          <t>Maximus Resources Ltd</t>
        </is>
      </c>
      <c r="D1422" t="inlineStr">
        <is>
          <t>AUD</t>
        </is>
      </c>
      <c r="E1422" t="inlineStr">
        <is>
          <t>ASX</t>
        </is>
      </c>
    </row>
    <row r="1423">
      <c r="B1423" t="inlineStr">
        <is>
          <t>GBE</t>
        </is>
      </c>
      <c r="C1423" t="inlineStr">
        <is>
          <t>Globe Metals &amp; Mining Ltd</t>
        </is>
      </c>
      <c r="D1423" t="inlineStr">
        <is>
          <t>AUD</t>
        </is>
      </c>
      <c r="E1423" t="inlineStr">
        <is>
          <t>ASX</t>
        </is>
      </c>
    </row>
    <row r="1424">
      <c r="B1424" t="inlineStr">
        <is>
          <t>KME</t>
        </is>
      </c>
      <c r="C1424" t="inlineStr">
        <is>
          <t>Kip Mcgrath Education Centres Ltd</t>
        </is>
      </c>
      <c r="D1424" t="inlineStr">
        <is>
          <t>AUD</t>
        </is>
      </c>
      <c r="E1424" t="inlineStr">
        <is>
          <t>ASX</t>
        </is>
      </c>
    </row>
    <row r="1425">
      <c r="B1425" t="inlineStr">
        <is>
          <t>CDO</t>
        </is>
      </c>
      <c r="C1425" t="inlineStr">
        <is>
          <t>Cadence Opportunities Fund Ltd</t>
        </is>
      </c>
      <c r="D1425" t="inlineStr">
        <is>
          <t>AUD</t>
        </is>
      </c>
      <c r="E1425" t="inlineStr">
        <is>
          <t>ASX</t>
        </is>
      </c>
    </row>
    <row r="1426">
      <c r="B1426" t="inlineStr">
        <is>
          <t>ARD</t>
        </is>
      </c>
      <c r="C1426" t="inlineStr">
        <is>
          <t>Argent Minerals Ltd</t>
        </is>
      </c>
      <c r="D1426" t="inlineStr">
        <is>
          <t>AUD</t>
        </is>
      </c>
      <c r="E1426" t="inlineStr">
        <is>
          <t>ASX</t>
        </is>
      </c>
    </row>
    <row r="1427">
      <c r="B1427" t="inlineStr">
        <is>
          <t>MAT</t>
        </is>
      </c>
      <c r="C1427" t="inlineStr">
        <is>
          <t>Matsa Resources Ltd</t>
        </is>
      </c>
      <c r="D1427" t="inlineStr">
        <is>
          <t>AUD</t>
        </is>
      </c>
      <c r="E1427" t="inlineStr">
        <is>
          <t>ASX</t>
        </is>
      </c>
    </row>
    <row r="1428">
      <c r="B1428" t="inlineStr">
        <is>
          <t>ASH</t>
        </is>
      </c>
      <c r="C1428" t="inlineStr">
        <is>
          <t>Ashley Services Group Ltd</t>
        </is>
      </c>
      <c r="D1428" t="inlineStr">
        <is>
          <t>AUD</t>
        </is>
      </c>
      <c r="E1428" t="inlineStr">
        <is>
          <t>ASX</t>
        </is>
      </c>
    </row>
    <row r="1429">
      <c r="B1429" t="inlineStr">
        <is>
          <t>TOE</t>
        </is>
      </c>
      <c r="C1429" t="inlineStr">
        <is>
          <t>Toro Energy Ltd</t>
        </is>
      </c>
      <c r="D1429" t="inlineStr">
        <is>
          <t>AUD</t>
        </is>
      </c>
      <c r="E1429" t="inlineStr">
        <is>
          <t>ASX</t>
        </is>
      </c>
    </row>
    <row r="1430">
      <c r="B1430" t="inlineStr">
        <is>
          <t>AHI</t>
        </is>
      </c>
      <c r="C1430" t="inlineStr">
        <is>
          <t>Advanced Health Intelligence Ltd</t>
        </is>
      </c>
      <c r="D1430" t="inlineStr">
        <is>
          <t>AUD</t>
        </is>
      </c>
      <c r="E1430" t="inlineStr">
        <is>
          <t>ASX</t>
        </is>
      </c>
    </row>
    <row r="1431">
      <c r="B1431" t="inlineStr">
        <is>
          <t>TAL</t>
        </is>
      </c>
      <c r="C1431" t="inlineStr">
        <is>
          <t>Talius Group Ltd</t>
        </is>
      </c>
      <c r="D1431" t="inlineStr">
        <is>
          <t>AUD</t>
        </is>
      </c>
      <c r="E1431" t="inlineStr">
        <is>
          <t>ASX</t>
        </is>
      </c>
    </row>
    <row r="1432">
      <c r="B1432" t="inlineStr">
        <is>
          <t>AGD</t>
        </is>
      </c>
      <c r="C1432" t="inlineStr">
        <is>
          <t>Austral Gold Ltd</t>
        </is>
      </c>
      <c r="D1432" t="inlineStr">
        <is>
          <t>AUD</t>
        </is>
      </c>
      <c r="E1432" t="inlineStr">
        <is>
          <t>ASX</t>
        </is>
      </c>
    </row>
    <row r="1433">
      <c r="B1433" t="inlineStr">
        <is>
          <t>QMAX</t>
        </is>
      </c>
      <c r="C1433" t="inlineStr">
        <is>
          <t>Betashares Nasdaq 100 Yield MAX (Managed Fund)</t>
        </is>
      </c>
      <c r="D1433" t="inlineStr">
        <is>
          <t>AUD</t>
        </is>
      </c>
      <c r="E1433" t="inlineStr">
        <is>
          <t>ASX</t>
        </is>
      </c>
    </row>
    <row r="1434">
      <c r="B1434" t="inlineStr">
        <is>
          <t>RFX</t>
        </is>
      </c>
      <c r="C1434" t="inlineStr">
        <is>
          <t>Redflow Ltd</t>
        </is>
      </c>
      <c r="D1434" t="inlineStr">
        <is>
          <t>AUD</t>
        </is>
      </c>
      <c r="E1434" t="inlineStr">
        <is>
          <t>ASX</t>
        </is>
      </c>
    </row>
    <row r="1435">
      <c r="B1435" t="inlineStr">
        <is>
          <t>KRM</t>
        </is>
      </c>
      <c r="C1435" t="inlineStr">
        <is>
          <t>Kingsrose Mining Ltd</t>
        </is>
      </c>
      <c r="D1435" t="inlineStr">
        <is>
          <t>AUD</t>
        </is>
      </c>
      <c r="E1435" t="inlineStr">
        <is>
          <t>ASX</t>
        </is>
      </c>
    </row>
    <row r="1436">
      <c r="B1436" t="inlineStr">
        <is>
          <t>ICI</t>
        </is>
      </c>
      <c r="C1436" t="inlineStr">
        <is>
          <t>Icandy Interactive Ltd</t>
        </is>
      </c>
      <c r="D1436" t="inlineStr">
        <is>
          <t>AUD</t>
        </is>
      </c>
      <c r="E1436" t="inlineStr">
        <is>
          <t>ASX</t>
        </is>
      </c>
    </row>
    <row r="1437">
      <c r="B1437" t="inlineStr">
        <is>
          <t>MRC</t>
        </is>
      </c>
      <c r="C1437" t="inlineStr">
        <is>
          <t>Mineral Commodities Ltd</t>
        </is>
      </c>
      <c r="D1437" t="inlineStr">
        <is>
          <t>AUD</t>
        </is>
      </c>
      <c r="E1437" t="inlineStr">
        <is>
          <t>ASX</t>
        </is>
      </c>
    </row>
    <row r="1438">
      <c r="B1438" t="inlineStr">
        <is>
          <t>TCO</t>
        </is>
      </c>
      <c r="C1438" t="inlineStr">
        <is>
          <t>Transmetro Corporation Ltd</t>
        </is>
      </c>
      <c r="D1438" t="inlineStr">
        <is>
          <t>AUD</t>
        </is>
      </c>
      <c r="E1438" t="inlineStr">
        <is>
          <t>ASX</t>
        </is>
      </c>
    </row>
    <row r="1439">
      <c r="B1439" t="inlineStr">
        <is>
          <t>AAM</t>
        </is>
      </c>
      <c r="C1439" t="inlineStr">
        <is>
          <t>Aumega Metals Ltd</t>
        </is>
      </c>
      <c r="D1439" t="inlineStr">
        <is>
          <t>AUD</t>
        </is>
      </c>
      <c r="E1439" t="inlineStr">
        <is>
          <t>ASX</t>
        </is>
      </c>
    </row>
    <row r="1440">
      <c r="B1440" t="inlineStr">
        <is>
          <t>UBI</t>
        </is>
      </c>
      <c r="C1440" t="inlineStr">
        <is>
          <t>Universal Biosensors Inc</t>
        </is>
      </c>
      <c r="D1440" t="inlineStr">
        <is>
          <t>AUD</t>
        </is>
      </c>
      <c r="E1440" t="inlineStr">
        <is>
          <t>ASX</t>
        </is>
      </c>
    </row>
    <row r="1441">
      <c r="B1441" t="inlineStr">
        <is>
          <t>GT1</t>
        </is>
      </c>
      <c r="C1441" t="inlineStr">
        <is>
          <t>Green Technology Metals Ltd</t>
        </is>
      </c>
      <c r="D1441" t="inlineStr">
        <is>
          <t>AUD</t>
        </is>
      </c>
      <c r="E1441" t="inlineStr">
        <is>
          <t>ASX</t>
        </is>
      </c>
    </row>
    <row r="1442">
      <c r="B1442" t="inlineStr">
        <is>
          <t>BRX</t>
        </is>
      </c>
      <c r="C1442" t="inlineStr">
        <is>
          <t>Belararox Ltd</t>
        </is>
      </c>
      <c r="D1442" t="inlineStr">
        <is>
          <t>AUD</t>
        </is>
      </c>
      <c r="E1442" t="inlineStr">
        <is>
          <t>ASX</t>
        </is>
      </c>
    </row>
    <row r="1443">
      <c r="B1443" t="inlineStr">
        <is>
          <t>FPC</t>
        </is>
      </c>
      <c r="C1443" t="inlineStr">
        <is>
          <t>Fat Prophets Global Contrarian Fund Ltd</t>
        </is>
      </c>
      <c r="D1443" t="inlineStr">
        <is>
          <t>AUD</t>
        </is>
      </c>
      <c r="E1443" t="inlineStr">
        <is>
          <t>ASX</t>
        </is>
      </c>
    </row>
    <row r="1444">
      <c r="B1444" t="inlineStr">
        <is>
          <t>AUQ</t>
        </is>
      </c>
      <c r="C1444" t="inlineStr">
        <is>
          <t>Alara Resources Ltd</t>
        </is>
      </c>
      <c r="D1444" t="inlineStr">
        <is>
          <t>AUD</t>
        </is>
      </c>
      <c r="E1444" t="inlineStr">
        <is>
          <t>ASX</t>
        </is>
      </c>
    </row>
    <row r="1445">
      <c r="B1445" t="inlineStr">
        <is>
          <t>G6M</t>
        </is>
      </c>
      <c r="C1445" t="inlineStr">
        <is>
          <t>Group 6 Metals Ltd</t>
        </is>
      </c>
      <c r="D1445" t="inlineStr">
        <is>
          <t>AUD</t>
        </is>
      </c>
      <c r="E1445" t="inlineStr">
        <is>
          <t>ASX</t>
        </is>
      </c>
    </row>
    <row r="1446">
      <c r="B1446" t="inlineStr">
        <is>
          <t>SUH</t>
        </is>
      </c>
      <c r="C1446" t="inlineStr">
        <is>
          <t>Southern Hemisphere Mining Ltd</t>
        </is>
      </c>
      <c r="D1446" t="inlineStr">
        <is>
          <t>AUD</t>
        </is>
      </c>
      <c r="E1446" t="inlineStr">
        <is>
          <t>ASX</t>
        </is>
      </c>
    </row>
    <row r="1447">
      <c r="B1447" t="inlineStr">
        <is>
          <t>SOP</t>
        </is>
      </c>
      <c r="C1447" t="inlineStr">
        <is>
          <t>Synertec Corporation Ltd</t>
        </is>
      </c>
      <c r="D1447" t="inlineStr">
        <is>
          <t>AUD</t>
        </is>
      </c>
      <c r="E1447" t="inlineStr">
        <is>
          <t>ASX</t>
        </is>
      </c>
    </row>
    <row r="1448">
      <c r="B1448" t="inlineStr">
        <is>
          <t>SPN</t>
        </is>
      </c>
      <c r="C1448" t="inlineStr">
        <is>
          <t>Sparc Technologies Ltd</t>
        </is>
      </c>
      <c r="D1448" t="inlineStr">
        <is>
          <t>AUD</t>
        </is>
      </c>
      <c r="E1448" t="inlineStr">
        <is>
          <t>ASX</t>
        </is>
      </c>
    </row>
    <row r="1449">
      <c r="B1449" t="inlineStr">
        <is>
          <t>AS1</t>
        </is>
      </c>
      <c r="C1449" t="inlineStr">
        <is>
          <t>Asara Resources Ltd</t>
        </is>
      </c>
      <c r="D1449" t="inlineStr">
        <is>
          <t>AUD</t>
        </is>
      </c>
      <c r="E1449" t="inlineStr">
        <is>
          <t>ASX</t>
        </is>
      </c>
    </row>
    <row r="1450">
      <c r="B1450" t="inlineStr">
        <is>
          <t>GPR</t>
        </is>
      </c>
      <c r="C1450" t="inlineStr">
        <is>
          <t>Geopacific Resources Ltd</t>
        </is>
      </c>
      <c r="D1450" t="inlineStr">
        <is>
          <t>AUD</t>
        </is>
      </c>
      <c r="E1450" t="inlineStr">
        <is>
          <t>ASX</t>
        </is>
      </c>
    </row>
    <row r="1451">
      <c r="B1451" t="inlineStr">
        <is>
          <t>CWX</t>
        </is>
      </c>
      <c r="C1451" t="inlineStr">
        <is>
          <t>Carawine Resources Ltd</t>
        </is>
      </c>
      <c r="D1451" t="inlineStr">
        <is>
          <t>AUD</t>
        </is>
      </c>
      <c r="E1451" t="inlineStr">
        <is>
          <t>ASX</t>
        </is>
      </c>
    </row>
    <row r="1452">
      <c r="B1452" t="inlineStr">
        <is>
          <t>NFM</t>
        </is>
      </c>
      <c r="C1452" t="inlineStr">
        <is>
          <t>New Frontier Minerals Ltd</t>
        </is>
      </c>
      <c r="D1452" t="inlineStr">
        <is>
          <t>AUD</t>
        </is>
      </c>
      <c r="E1452" t="inlineStr">
        <is>
          <t>ASX</t>
        </is>
      </c>
    </row>
    <row r="1453">
      <c r="B1453" t="inlineStr">
        <is>
          <t>MFOA</t>
        </is>
      </c>
      <c r="C1453" t="inlineStr">
        <is>
          <t>Milford Australian Absolute Growth (Hedge Fund)</t>
        </is>
      </c>
      <c r="D1453" t="inlineStr">
        <is>
          <t>AUD</t>
        </is>
      </c>
      <c r="E1453" t="inlineStr">
        <is>
          <t>ASX</t>
        </is>
      </c>
    </row>
    <row r="1454">
      <c r="B1454" t="inlineStr">
        <is>
          <t>RDN</t>
        </is>
      </c>
      <c r="C1454" t="inlineStr">
        <is>
          <t>Raiden Resources Ltd</t>
        </is>
      </c>
      <c r="D1454" t="inlineStr">
        <is>
          <t>AUD</t>
        </is>
      </c>
      <c r="E1454" t="inlineStr">
        <is>
          <t>ASX</t>
        </is>
      </c>
    </row>
    <row r="1455">
      <c r="B1455" t="inlineStr">
        <is>
          <t>CBE</t>
        </is>
      </c>
      <c r="C1455" t="inlineStr">
        <is>
          <t>Cobre Ltd</t>
        </is>
      </c>
      <c r="D1455" t="inlineStr">
        <is>
          <t>AUD</t>
        </is>
      </c>
      <c r="E1455" t="inlineStr">
        <is>
          <t>ASX</t>
        </is>
      </c>
    </row>
    <row r="1456">
      <c r="B1456" t="inlineStr">
        <is>
          <t>RHT</t>
        </is>
      </c>
      <c r="C1456" t="inlineStr">
        <is>
          <t>Resonance Health Ltd</t>
        </is>
      </c>
      <c r="D1456" t="inlineStr">
        <is>
          <t>AUD</t>
        </is>
      </c>
      <c r="E1456" t="inlineStr">
        <is>
          <t>ASX</t>
        </is>
      </c>
    </row>
    <row r="1457">
      <c r="B1457" t="inlineStr">
        <is>
          <t>FAL</t>
        </is>
      </c>
      <c r="C1457" t="inlineStr">
        <is>
          <t>Falcon Metals Ltd</t>
        </is>
      </c>
      <c r="D1457" t="inlineStr">
        <is>
          <t>AUD</t>
        </is>
      </c>
      <c r="E1457" t="inlineStr">
        <is>
          <t>ASX</t>
        </is>
      </c>
    </row>
    <row r="1458">
      <c r="B1458" t="inlineStr">
        <is>
          <t>AQN</t>
        </is>
      </c>
      <c r="C1458" t="inlineStr">
        <is>
          <t>Aquirian Ltd</t>
        </is>
      </c>
      <c r="D1458" t="inlineStr">
        <is>
          <t>AUD</t>
        </is>
      </c>
      <c r="E1458" t="inlineStr">
        <is>
          <t>ASX</t>
        </is>
      </c>
    </row>
    <row r="1459">
      <c r="B1459" t="inlineStr">
        <is>
          <t>TMK</t>
        </is>
      </c>
      <c r="C1459" t="inlineStr">
        <is>
          <t>TMK Energy Ltd</t>
        </is>
      </c>
      <c r="D1459" t="inlineStr">
        <is>
          <t>AUD</t>
        </is>
      </c>
      <c r="E1459" t="inlineStr">
        <is>
          <t>ASX</t>
        </is>
      </c>
    </row>
    <row r="1460">
      <c r="B1460" t="inlineStr">
        <is>
          <t>FTL</t>
        </is>
      </c>
      <c r="C1460" t="inlineStr">
        <is>
          <t>Firetail Resources Ltd</t>
        </is>
      </c>
      <c r="D1460" t="inlineStr">
        <is>
          <t>AUD</t>
        </is>
      </c>
      <c r="E1460" t="inlineStr">
        <is>
          <t>ASX</t>
        </is>
      </c>
    </row>
    <row r="1461">
      <c r="B1461" t="inlineStr">
        <is>
          <t>OSL</t>
        </is>
      </c>
      <c r="C1461" t="inlineStr">
        <is>
          <t>Oncosil Medical Ltd</t>
        </is>
      </c>
      <c r="D1461" t="inlineStr">
        <is>
          <t>AUD</t>
        </is>
      </c>
      <c r="E1461" t="inlineStr">
        <is>
          <t>ASX</t>
        </is>
      </c>
    </row>
    <row r="1462">
      <c r="B1462" t="inlineStr">
        <is>
          <t>NVQ</t>
        </is>
      </c>
      <c r="C1462" t="inlineStr">
        <is>
          <t>Noviqtech Ltd</t>
        </is>
      </c>
      <c r="D1462" t="inlineStr">
        <is>
          <t>AUD</t>
        </is>
      </c>
      <c r="E1462" t="inlineStr">
        <is>
          <t>ASX</t>
        </is>
      </c>
    </row>
    <row r="1463">
      <c r="B1463" t="inlineStr">
        <is>
          <t>GC1</t>
        </is>
      </c>
      <c r="C1463" t="inlineStr">
        <is>
          <t>Glennon Small Companies Ltd</t>
        </is>
      </c>
      <c r="D1463" t="inlineStr">
        <is>
          <t>AUD</t>
        </is>
      </c>
      <c r="E1463" t="inlineStr">
        <is>
          <t>ASX</t>
        </is>
      </c>
    </row>
    <row r="1464">
      <c r="B1464" t="inlineStr">
        <is>
          <t>XRG</t>
        </is>
      </c>
      <c r="C1464" t="inlineStr">
        <is>
          <t>Xreality Group Ltd</t>
        </is>
      </c>
      <c r="D1464" t="inlineStr">
        <is>
          <t>AUD</t>
        </is>
      </c>
      <c r="E1464" t="inlineStr">
        <is>
          <t>ASX</t>
        </is>
      </c>
    </row>
    <row r="1465">
      <c r="B1465" t="inlineStr">
        <is>
          <t>XMET</t>
        </is>
      </c>
      <c r="C1465" t="inlineStr">
        <is>
          <t>Betashares Energy Transition Metals ETF</t>
        </is>
      </c>
      <c r="D1465" t="inlineStr">
        <is>
          <t>AUD</t>
        </is>
      </c>
      <c r="E1465" t="inlineStr">
        <is>
          <t>ASX</t>
        </is>
      </c>
    </row>
    <row r="1466">
      <c r="B1466" t="inlineStr">
        <is>
          <t>S3GO</t>
        </is>
      </c>
      <c r="C1466" t="inlineStr">
        <is>
          <t>Firetrail S3 Global Opps Fund (Managed Fund)</t>
        </is>
      </c>
      <c r="D1466" t="inlineStr">
        <is>
          <t>AUD</t>
        </is>
      </c>
      <c r="E1466" t="inlineStr">
        <is>
          <t>ASX</t>
        </is>
      </c>
    </row>
    <row r="1467">
      <c r="B1467" t="inlineStr">
        <is>
          <t>PXX</t>
        </is>
      </c>
      <c r="C1467" t="inlineStr">
        <is>
          <t>Polarx Ltd</t>
        </is>
      </c>
      <c r="D1467" t="inlineStr">
        <is>
          <t>AUD</t>
        </is>
      </c>
      <c r="E1467" t="inlineStr">
        <is>
          <t>ASX</t>
        </is>
      </c>
    </row>
    <row r="1468">
      <c r="B1468" t="inlineStr">
        <is>
          <t>WEMG</t>
        </is>
      </c>
      <c r="C1468" t="inlineStr">
        <is>
          <t>SPDR S&amp;P Emerging Markets Carbon Control Fund</t>
        </is>
      </c>
      <c r="D1468" t="inlineStr">
        <is>
          <t>AUD</t>
        </is>
      </c>
      <c r="E1468" t="inlineStr">
        <is>
          <t>ASX</t>
        </is>
      </c>
    </row>
    <row r="1469">
      <c r="B1469" t="inlineStr">
        <is>
          <t>DFND</t>
        </is>
      </c>
      <c r="C1469" t="inlineStr">
        <is>
          <t>Vaneck Global Defence ETF</t>
        </is>
      </c>
      <c r="D1469" t="inlineStr">
        <is>
          <t>AUD</t>
        </is>
      </c>
      <c r="E1469" t="inlineStr">
        <is>
          <t>ASX</t>
        </is>
      </c>
    </row>
    <row r="1470">
      <c r="B1470" t="inlineStr">
        <is>
          <t>NXM</t>
        </is>
      </c>
      <c r="C1470" t="inlineStr">
        <is>
          <t>Nexus Minerals Ltd</t>
        </is>
      </c>
      <c r="D1470" t="inlineStr">
        <is>
          <t>AUD</t>
        </is>
      </c>
      <c r="E1470" t="inlineStr">
        <is>
          <t>ASX</t>
        </is>
      </c>
    </row>
    <row r="1471">
      <c r="B1471" t="inlineStr">
        <is>
          <t>CXZ</t>
        </is>
      </c>
      <c r="C1471" t="inlineStr">
        <is>
          <t>Connexion Mobility Ltd</t>
        </is>
      </c>
      <c r="D1471" t="inlineStr">
        <is>
          <t>AUD</t>
        </is>
      </c>
      <c r="E1471" t="inlineStr">
        <is>
          <t>ASX</t>
        </is>
      </c>
    </row>
    <row r="1472">
      <c r="B1472" t="inlineStr">
        <is>
          <t>COD</t>
        </is>
      </c>
      <c r="C1472" t="inlineStr">
        <is>
          <t>Coda Minerals Ltd</t>
        </is>
      </c>
      <c r="D1472" t="inlineStr">
        <is>
          <t>AUD</t>
        </is>
      </c>
      <c r="E1472" t="inlineStr">
        <is>
          <t>ASX</t>
        </is>
      </c>
    </row>
    <row r="1473">
      <c r="B1473" t="inlineStr">
        <is>
          <t>MOV</t>
        </is>
      </c>
      <c r="C1473" t="inlineStr">
        <is>
          <t>Move Logistics Group Ltd</t>
        </is>
      </c>
      <c r="D1473" t="inlineStr">
        <is>
          <t>AUD</t>
        </is>
      </c>
      <c r="E1473" t="inlineStr">
        <is>
          <t>ASX</t>
        </is>
      </c>
    </row>
    <row r="1474">
      <c r="B1474" t="inlineStr">
        <is>
          <t>WAG</t>
        </is>
      </c>
      <c r="C1474" t="inlineStr">
        <is>
          <t>The Australian Wealth Advisors Group Ltd</t>
        </is>
      </c>
      <c r="D1474" t="inlineStr">
        <is>
          <t>AUD</t>
        </is>
      </c>
      <c r="E1474" t="inlineStr">
        <is>
          <t>ASX</t>
        </is>
      </c>
    </row>
    <row r="1475">
      <c r="B1475" t="inlineStr">
        <is>
          <t>ADN</t>
        </is>
      </c>
      <c r="C1475" t="inlineStr">
        <is>
          <t>Andromeda Metals Ltd</t>
        </is>
      </c>
      <c r="D1475" t="inlineStr">
        <is>
          <t>AUD</t>
        </is>
      </c>
      <c r="E1475" t="inlineStr">
        <is>
          <t>ASX</t>
        </is>
      </c>
    </row>
    <row r="1476">
      <c r="B1476" t="inlineStr">
        <is>
          <t>ICL</t>
        </is>
      </c>
      <c r="C1476" t="inlineStr">
        <is>
          <t>Iceni Gold Ltd</t>
        </is>
      </c>
      <c r="D1476" t="inlineStr">
        <is>
          <t>AUD</t>
        </is>
      </c>
      <c r="E1476" t="inlineStr">
        <is>
          <t>ASX</t>
        </is>
      </c>
    </row>
    <row r="1477">
      <c r="B1477" t="inlineStr">
        <is>
          <t>MAG</t>
        </is>
      </c>
      <c r="C1477" t="inlineStr">
        <is>
          <t>Magmatic Resources Ltd</t>
        </is>
      </c>
      <c r="D1477" t="inlineStr">
        <is>
          <t>AUD</t>
        </is>
      </c>
      <c r="E1477" t="inlineStr">
        <is>
          <t>ASX</t>
        </is>
      </c>
    </row>
    <row r="1478">
      <c r="B1478" t="inlineStr">
        <is>
          <t>5GG</t>
        </is>
      </c>
      <c r="C1478" t="inlineStr">
        <is>
          <t>Pentanet Ltd</t>
        </is>
      </c>
      <c r="D1478" t="inlineStr">
        <is>
          <t>AUD</t>
        </is>
      </c>
      <c r="E1478" t="inlineStr">
        <is>
          <t>ASX</t>
        </is>
      </c>
    </row>
    <row r="1479">
      <c r="B1479" t="inlineStr">
        <is>
          <t>BMR</t>
        </is>
      </c>
      <c r="C1479" t="inlineStr">
        <is>
          <t>Ballymore Resources Ltd</t>
        </is>
      </c>
      <c r="D1479" t="inlineStr">
        <is>
          <t>AUD</t>
        </is>
      </c>
      <c r="E1479" t="inlineStr">
        <is>
          <t>ASX</t>
        </is>
      </c>
    </row>
    <row r="1480">
      <c r="B1480" t="inlineStr">
        <is>
          <t>ECS</t>
        </is>
      </c>
      <c r="C1480" t="inlineStr">
        <is>
          <t>ECS Botanics Holdings Ltd</t>
        </is>
      </c>
      <c r="D1480" t="inlineStr">
        <is>
          <t>AUD</t>
        </is>
      </c>
      <c r="E1480" t="inlineStr">
        <is>
          <t>ASX</t>
        </is>
      </c>
    </row>
    <row r="1481">
      <c r="B1481" t="inlineStr">
        <is>
          <t>NHE</t>
        </is>
      </c>
      <c r="C1481" t="inlineStr">
        <is>
          <t>Noble Helium Ltd</t>
        </is>
      </c>
      <c r="D1481" t="inlineStr">
        <is>
          <t>AUD</t>
        </is>
      </c>
      <c r="E1481" t="inlineStr">
        <is>
          <t>ASX</t>
        </is>
      </c>
    </row>
    <row r="1482">
      <c r="B1482" t="inlineStr">
        <is>
          <t>KPO</t>
        </is>
      </c>
      <c r="C1482" t="inlineStr">
        <is>
          <t>Kalina Power Ltd</t>
        </is>
      </c>
      <c r="D1482" t="inlineStr">
        <is>
          <t>AUD</t>
        </is>
      </c>
      <c r="E1482" t="inlineStr">
        <is>
          <t>ASX</t>
        </is>
      </c>
    </row>
    <row r="1483">
      <c r="B1483" t="inlineStr">
        <is>
          <t>NUH</t>
        </is>
      </c>
      <c r="C1483" t="inlineStr">
        <is>
          <t>Nuheara Ltd</t>
        </is>
      </c>
      <c r="D1483" t="inlineStr">
        <is>
          <t>AUD</t>
        </is>
      </c>
      <c r="E1483" t="inlineStr">
        <is>
          <t>ASX</t>
        </is>
      </c>
    </row>
    <row r="1484">
      <c r="B1484" t="inlineStr">
        <is>
          <t>MKR</t>
        </is>
      </c>
      <c r="C1484" t="inlineStr">
        <is>
          <t>Manuka Resources Ltd</t>
        </is>
      </c>
      <c r="D1484" t="inlineStr">
        <is>
          <t>AUD</t>
        </is>
      </c>
      <c r="E1484" t="inlineStr">
        <is>
          <t>ASX</t>
        </is>
      </c>
    </row>
    <row r="1485">
      <c r="B1485" t="inlineStr">
        <is>
          <t>HCF</t>
        </is>
      </c>
      <c r="C1485" t="inlineStr">
        <is>
          <t>H&amp;G High Conviction Ltd</t>
        </is>
      </c>
      <c r="D1485" t="inlineStr">
        <is>
          <t>AUD</t>
        </is>
      </c>
      <c r="E1485" t="inlineStr">
        <is>
          <t>ASX</t>
        </is>
      </c>
    </row>
    <row r="1486">
      <c r="B1486" t="inlineStr">
        <is>
          <t>US10</t>
        </is>
      </c>
      <c r="C1486" t="inlineStr">
        <is>
          <t>Betashares US Treasury Bond 7-10YR CH ETF</t>
        </is>
      </c>
      <c r="D1486" t="inlineStr">
        <is>
          <t>AUD</t>
        </is>
      </c>
      <c r="E1486" t="inlineStr">
        <is>
          <t>ASX</t>
        </is>
      </c>
    </row>
    <row r="1487">
      <c r="B1487" t="inlineStr">
        <is>
          <t>MQEG</t>
        </is>
      </c>
      <c r="C1487" t="inlineStr">
        <is>
          <t>Macquarie Core Global Equity Active ETF</t>
        </is>
      </c>
      <c r="D1487" t="inlineStr">
        <is>
          <t>AUD</t>
        </is>
      </c>
      <c r="E1487" t="inlineStr">
        <is>
          <t>ASX</t>
        </is>
      </c>
    </row>
    <row r="1488">
      <c r="B1488" t="inlineStr">
        <is>
          <t>REZ</t>
        </is>
      </c>
      <c r="C1488" t="inlineStr">
        <is>
          <t>Resources &amp; Energy Group Ltd</t>
        </is>
      </c>
      <c r="D1488" t="inlineStr">
        <is>
          <t>AUD</t>
        </is>
      </c>
      <c r="E1488" t="inlineStr">
        <is>
          <t>ASX</t>
        </is>
      </c>
    </row>
    <row r="1489">
      <c r="B1489" t="inlineStr">
        <is>
          <t>LIT</t>
        </is>
      </c>
      <c r="C1489" t="inlineStr">
        <is>
          <t>Livium Ltd</t>
        </is>
      </c>
      <c r="D1489" t="inlineStr">
        <is>
          <t>AUD</t>
        </is>
      </c>
      <c r="E1489" t="inlineStr">
        <is>
          <t>ASX</t>
        </is>
      </c>
    </row>
    <row r="1490">
      <c r="B1490" t="inlineStr">
        <is>
          <t>ION</t>
        </is>
      </c>
      <c r="C1490" t="inlineStr">
        <is>
          <t>Iondrive Ltd</t>
        </is>
      </c>
      <c r="D1490" t="inlineStr">
        <is>
          <t>AUD</t>
        </is>
      </c>
      <c r="E1490" t="inlineStr">
        <is>
          <t>ASX</t>
        </is>
      </c>
    </row>
    <row r="1491">
      <c r="B1491" t="inlineStr">
        <is>
          <t>JAL</t>
        </is>
      </c>
      <c r="C1491" t="inlineStr">
        <is>
          <t>Jameson Resources Ltd</t>
        </is>
      </c>
      <c r="D1491" t="inlineStr">
        <is>
          <t>AUD</t>
        </is>
      </c>
      <c r="E1491" t="inlineStr">
        <is>
          <t>ASX</t>
        </is>
      </c>
    </row>
    <row r="1492">
      <c r="B1492" t="inlineStr">
        <is>
          <t>EMP</t>
        </is>
      </c>
      <c r="C1492" t="inlineStr">
        <is>
          <t>Emperor Energy Ltd</t>
        </is>
      </c>
      <c r="D1492" t="inlineStr">
        <is>
          <t>AUD</t>
        </is>
      </c>
      <c r="E1492" t="inlineStr">
        <is>
          <t>ASX</t>
        </is>
      </c>
    </row>
    <row r="1493">
      <c r="B1493" t="inlineStr">
        <is>
          <t>EVZ</t>
        </is>
      </c>
      <c r="C1493" t="inlineStr">
        <is>
          <t>EVZ Ltd</t>
        </is>
      </c>
      <c r="D1493" t="inlineStr">
        <is>
          <t>AUD</t>
        </is>
      </c>
      <c r="E1493" t="inlineStr">
        <is>
          <t>ASX</t>
        </is>
      </c>
    </row>
    <row r="1494">
      <c r="B1494" t="inlineStr">
        <is>
          <t>SRJ</t>
        </is>
      </c>
      <c r="C1494" t="inlineStr">
        <is>
          <t>SRJ Technologies Group Plc</t>
        </is>
      </c>
      <c r="D1494" t="inlineStr">
        <is>
          <t>AUD</t>
        </is>
      </c>
      <c r="E1494" t="inlineStr">
        <is>
          <t>ASX</t>
        </is>
      </c>
    </row>
    <row r="1495">
      <c r="B1495" t="inlineStr">
        <is>
          <t>LVH</t>
        </is>
      </c>
      <c r="C1495" t="inlineStr">
        <is>
          <t>Livehire Ltd</t>
        </is>
      </c>
      <c r="D1495" t="inlineStr">
        <is>
          <t>AUD</t>
        </is>
      </c>
      <c r="E1495" t="inlineStr">
        <is>
          <t>ASX</t>
        </is>
      </c>
    </row>
    <row r="1496">
      <c r="B1496" t="inlineStr">
        <is>
          <t>ACU</t>
        </is>
      </c>
      <c r="C1496" t="inlineStr">
        <is>
          <t>Acumentis Group Ltd</t>
        </is>
      </c>
      <c r="D1496" t="inlineStr">
        <is>
          <t>AUD</t>
        </is>
      </c>
      <c r="E1496" t="inlineStr">
        <is>
          <t>ASX</t>
        </is>
      </c>
    </row>
    <row r="1497">
      <c r="B1497" t="inlineStr">
        <is>
          <t>MQWS</t>
        </is>
      </c>
      <c r="C1497" t="inlineStr">
        <is>
          <t>MQ Walter Scott GLBL EQ Active ETF (Managed Fund)</t>
        </is>
      </c>
      <c r="D1497" t="inlineStr">
        <is>
          <t>AUD</t>
        </is>
      </c>
      <c r="E1497" t="inlineStr">
        <is>
          <t>ASX</t>
        </is>
      </c>
    </row>
    <row r="1498">
      <c r="B1498" t="inlineStr">
        <is>
          <t>AR9</t>
        </is>
      </c>
      <c r="C1498" t="inlineStr">
        <is>
          <t>Archtis Ltd</t>
        </is>
      </c>
      <c r="D1498" t="inlineStr">
        <is>
          <t>AUD</t>
        </is>
      </c>
      <c r="E1498" t="inlineStr">
        <is>
          <t>ASX</t>
        </is>
      </c>
    </row>
    <row r="1499">
      <c r="B1499" t="inlineStr">
        <is>
          <t>NMR</t>
        </is>
      </c>
      <c r="C1499" t="inlineStr">
        <is>
          <t>Native Mineral Resources Holdings Ltd</t>
        </is>
      </c>
      <c r="D1499" t="inlineStr">
        <is>
          <t>AUD</t>
        </is>
      </c>
      <c r="E1499" t="inlineStr">
        <is>
          <t>ASX</t>
        </is>
      </c>
    </row>
    <row r="1500">
      <c r="B1500" t="inlineStr">
        <is>
          <t>ADEF</t>
        </is>
      </c>
      <c r="C1500" t="inlineStr">
        <is>
          <t>Apostle Dundas Global Equity Classd (Managed Fund)</t>
        </is>
      </c>
      <c r="D1500" t="inlineStr">
        <is>
          <t>AUD</t>
        </is>
      </c>
      <c r="E1500" t="inlineStr">
        <is>
          <t>ASX</t>
        </is>
      </c>
    </row>
    <row r="1501">
      <c r="B1501" t="inlineStr">
        <is>
          <t>WNX</t>
        </is>
      </c>
      <c r="C1501" t="inlineStr">
        <is>
          <t>Wellnex Life Ltd</t>
        </is>
      </c>
      <c r="D1501" t="inlineStr">
        <is>
          <t>AUD</t>
        </is>
      </c>
      <c r="E1501" t="inlineStr">
        <is>
          <t>ASX</t>
        </is>
      </c>
    </row>
    <row r="1502">
      <c r="B1502" t="inlineStr">
        <is>
          <t>AYI</t>
        </is>
      </c>
      <c r="C1502" t="inlineStr">
        <is>
          <t>A1 Investments &amp; Resources Ltd</t>
        </is>
      </c>
      <c r="D1502" t="inlineStr">
        <is>
          <t>AUD</t>
        </is>
      </c>
      <c r="E1502" t="inlineStr">
        <is>
          <t>ASX</t>
        </is>
      </c>
    </row>
    <row r="1503">
      <c r="B1503" t="inlineStr">
        <is>
          <t>ATU</t>
        </is>
      </c>
      <c r="C1503" t="inlineStr">
        <is>
          <t>Atrum Coal Ltd</t>
        </is>
      </c>
      <c r="D1503" t="inlineStr">
        <is>
          <t>AUD</t>
        </is>
      </c>
      <c r="E1503" t="inlineStr">
        <is>
          <t>ASX</t>
        </is>
      </c>
    </row>
    <row r="1504">
      <c r="B1504" t="inlineStr">
        <is>
          <t>ODA</t>
        </is>
      </c>
      <c r="C1504" t="inlineStr">
        <is>
          <t>Orcoda Ltd</t>
        </is>
      </c>
      <c r="D1504" t="inlineStr">
        <is>
          <t>AUD</t>
        </is>
      </c>
      <c r="E1504" t="inlineStr">
        <is>
          <t>ASX</t>
        </is>
      </c>
    </row>
    <row r="1505">
      <c r="B1505" t="inlineStr">
        <is>
          <t>GUE</t>
        </is>
      </c>
      <c r="C1505" t="inlineStr">
        <is>
          <t>Global Uranium and Enrichment Ltd</t>
        </is>
      </c>
      <c r="D1505" t="inlineStr">
        <is>
          <t>AUD</t>
        </is>
      </c>
      <c r="E1505" t="inlineStr">
        <is>
          <t>ASX</t>
        </is>
      </c>
    </row>
    <row r="1506">
      <c r="B1506" t="inlineStr">
        <is>
          <t>CYB</t>
        </is>
      </c>
      <c r="C1506" t="inlineStr">
        <is>
          <t>Aucyber Ltd</t>
        </is>
      </c>
      <c r="D1506" t="inlineStr">
        <is>
          <t>AUD</t>
        </is>
      </c>
      <c r="E1506" t="inlineStr">
        <is>
          <t>ASX</t>
        </is>
      </c>
    </row>
    <row r="1507">
      <c r="B1507" t="inlineStr">
        <is>
          <t>CCM</t>
        </is>
      </c>
      <c r="C1507" t="inlineStr">
        <is>
          <t>Cadoux Ltd</t>
        </is>
      </c>
      <c r="D1507" t="inlineStr">
        <is>
          <t>AUD</t>
        </is>
      </c>
      <c r="E1507" t="inlineStr">
        <is>
          <t>ASX</t>
        </is>
      </c>
    </row>
    <row r="1508">
      <c r="B1508" t="inlineStr">
        <is>
          <t>BTN</t>
        </is>
      </c>
      <c r="C1508" t="inlineStr">
        <is>
          <t>Butn Ltd</t>
        </is>
      </c>
      <c r="D1508" t="inlineStr">
        <is>
          <t>AUD</t>
        </is>
      </c>
      <c r="E1508" t="inlineStr">
        <is>
          <t>ASX</t>
        </is>
      </c>
    </row>
    <row r="1509">
      <c r="B1509" t="inlineStr">
        <is>
          <t>CAN</t>
        </is>
      </c>
      <c r="C1509" t="inlineStr">
        <is>
          <t>Cann Group Ltd</t>
        </is>
      </c>
      <c r="D1509" t="inlineStr">
        <is>
          <t>AUD</t>
        </is>
      </c>
      <c r="E1509" t="inlineStr">
        <is>
          <t>ASX</t>
        </is>
      </c>
    </row>
    <row r="1510">
      <c r="B1510" t="inlineStr">
        <is>
          <t>MVOL</t>
        </is>
      </c>
      <c r="C1510" t="inlineStr">
        <is>
          <t>Ishares Edge MSCI Australia Minimum Volatility ETF</t>
        </is>
      </c>
      <c r="D1510" t="inlineStr">
        <is>
          <t>AUD</t>
        </is>
      </c>
      <c r="E1510" t="inlineStr">
        <is>
          <t>ASX</t>
        </is>
      </c>
    </row>
    <row r="1511">
      <c r="B1511" t="inlineStr">
        <is>
          <t>BDG</t>
        </is>
      </c>
      <c r="C1511" t="inlineStr">
        <is>
          <t>Black Dragon Gold Corp</t>
        </is>
      </c>
      <c r="D1511" t="inlineStr">
        <is>
          <t>AUD</t>
        </is>
      </c>
      <c r="E1511" t="inlineStr">
        <is>
          <t>ASX</t>
        </is>
      </c>
    </row>
    <row r="1512">
      <c r="B1512" t="inlineStr">
        <is>
          <t>CNQ</t>
        </is>
      </c>
      <c r="C1512" t="inlineStr">
        <is>
          <t>Clean TEQ Water Ltd</t>
        </is>
      </c>
      <c r="D1512" t="inlineStr">
        <is>
          <t>AUD</t>
        </is>
      </c>
      <c r="E1512" t="inlineStr">
        <is>
          <t>ASX</t>
        </is>
      </c>
    </row>
    <row r="1513">
      <c r="B1513" t="inlineStr">
        <is>
          <t>NAC</t>
        </is>
      </c>
      <c r="C1513" t="inlineStr">
        <is>
          <t>Naos Ex-50 Opportunities Company Ltd</t>
        </is>
      </c>
      <c r="D1513" t="inlineStr">
        <is>
          <t>AUD</t>
        </is>
      </c>
      <c r="E1513" t="inlineStr">
        <is>
          <t>ASX</t>
        </is>
      </c>
    </row>
    <row r="1514">
      <c r="B1514" t="inlineStr">
        <is>
          <t>FSIGA</t>
        </is>
      </c>
      <c r="C1514" t="inlineStr">
        <is>
          <t>Flagship Investments Ltd</t>
        </is>
      </c>
      <c r="D1514" t="inlineStr">
        <is>
          <t>AUD</t>
        </is>
      </c>
      <c r="E1514" t="inlineStr">
        <is>
          <t>ASX</t>
        </is>
      </c>
    </row>
    <row r="1515">
      <c r="B1515" t="inlineStr">
        <is>
          <t>PHO</t>
        </is>
      </c>
      <c r="C1515" t="inlineStr">
        <is>
          <t>Phosco Ltd</t>
        </is>
      </c>
      <c r="D1515" t="inlineStr">
        <is>
          <t>AUD</t>
        </is>
      </c>
      <c r="E1515" t="inlineStr">
        <is>
          <t>ASX</t>
        </is>
      </c>
    </row>
    <row r="1516">
      <c r="B1516" t="inlineStr">
        <is>
          <t>VRS</t>
        </is>
      </c>
      <c r="C1516" t="inlineStr">
        <is>
          <t>Veris Ltd</t>
        </is>
      </c>
      <c r="D1516" t="inlineStr">
        <is>
          <t>AUD</t>
        </is>
      </c>
      <c r="E1516" t="inlineStr">
        <is>
          <t>ASX</t>
        </is>
      </c>
    </row>
    <row r="1517">
      <c r="B1517" t="inlineStr">
        <is>
          <t>IMC</t>
        </is>
      </c>
      <c r="C1517" t="inlineStr">
        <is>
          <t>Immuron Ltd</t>
        </is>
      </c>
      <c r="D1517" t="inlineStr">
        <is>
          <t>AUD</t>
        </is>
      </c>
      <c r="E1517" t="inlineStr">
        <is>
          <t>ASX</t>
        </is>
      </c>
    </row>
    <row r="1518">
      <c r="B1518" t="inlineStr">
        <is>
          <t>ARV</t>
        </is>
      </c>
      <c r="C1518" t="inlineStr">
        <is>
          <t>Artemis Resources Ltd</t>
        </is>
      </c>
      <c r="D1518" t="inlineStr">
        <is>
          <t>AUD</t>
        </is>
      </c>
      <c r="E1518" t="inlineStr">
        <is>
          <t>ASX</t>
        </is>
      </c>
    </row>
    <row r="1519">
      <c r="B1519" t="inlineStr">
        <is>
          <t>MAUCA</t>
        </is>
      </c>
      <c r="C1519" t="inlineStr">
        <is>
          <t>Magnetic Resources NL</t>
        </is>
      </c>
      <c r="D1519" t="inlineStr">
        <is>
          <t>AUD</t>
        </is>
      </c>
      <c r="E1519" t="inlineStr">
        <is>
          <t>ASX</t>
        </is>
      </c>
    </row>
    <row r="1520">
      <c r="B1520" t="inlineStr">
        <is>
          <t>SOR</t>
        </is>
      </c>
      <c r="C1520" t="inlineStr">
        <is>
          <t>Strategic Elements Ltd</t>
        </is>
      </c>
      <c r="D1520" t="inlineStr">
        <is>
          <t>AUD</t>
        </is>
      </c>
      <c r="E1520" t="inlineStr">
        <is>
          <t>ASX</t>
        </is>
      </c>
    </row>
    <row r="1521">
      <c r="B1521" t="inlineStr">
        <is>
          <t>AEI</t>
        </is>
      </c>
      <c r="C1521" t="inlineStr">
        <is>
          <t>Aeris Environmental Ltd</t>
        </is>
      </c>
      <c r="D1521" t="inlineStr">
        <is>
          <t>AUD</t>
        </is>
      </c>
      <c r="E1521" t="inlineStr">
        <is>
          <t>ASX</t>
        </is>
      </c>
    </row>
    <row r="1522">
      <c r="B1522" t="inlineStr">
        <is>
          <t>MPK</t>
        </is>
      </c>
      <c r="C1522" t="inlineStr">
        <is>
          <t>Many Peaks Minerals Ltd</t>
        </is>
      </c>
      <c r="D1522" t="inlineStr">
        <is>
          <t>AUD</t>
        </is>
      </c>
      <c r="E1522" t="inlineStr">
        <is>
          <t>ASX</t>
        </is>
      </c>
    </row>
    <row r="1523">
      <c r="B1523" t="inlineStr">
        <is>
          <t>EINC</t>
        </is>
      </c>
      <c r="C1523" t="inlineStr">
        <is>
          <t>Betashares MRTN Currie EQY Inc Fund (Managed Fund)</t>
        </is>
      </c>
      <c r="D1523" t="inlineStr">
        <is>
          <t>AUD</t>
        </is>
      </c>
      <c r="E1523" t="inlineStr">
        <is>
          <t>ASX</t>
        </is>
      </c>
    </row>
    <row r="1524">
      <c r="B1524" t="inlineStr">
        <is>
          <t>MBH</t>
        </is>
      </c>
      <c r="C1524" t="inlineStr">
        <is>
          <t>Maggie Beer Holdings Ltd</t>
        </is>
      </c>
      <c r="D1524" t="inlineStr">
        <is>
          <t>AUD</t>
        </is>
      </c>
      <c r="E1524" t="inlineStr">
        <is>
          <t>ASX</t>
        </is>
      </c>
    </row>
    <row r="1525">
      <c r="B1525" t="inlineStr">
        <is>
          <t>TOU</t>
        </is>
      </c>
      <c r="C1525" t="inlineStr">
        <is>
          <t>Tlou Energy Ltd</t>
        </is>
      </c>
      <c r="D1525" t="inlineStr">
        <is>
          <t>AUD</t>
        </is>
      </c>
      <c r="E1525" t="inlineStr">
        <is>
          <t>ASX</t>
        </is>
      </c>
    </row>
    <row r="1526">
      <c r="B1526" t="inlineStr">
        <is>
          <t>QML</t>
        </is>
      </c>
      <c r="C1526" t="inlineStr">
        <is>
          <t>Qmines Ltd</t>
        </is>
      </c>
      <c r="D1526" t="inlineStr">
        <is>
          <t>AUD</t>
        </is>
      </c>
      <c r="E1526" t="inlineStr">
        <is>
          <t>ASX</t>
        </is>
      </c>
    </row>
    <row r="1527">
      <c r="B1527" t="inlineStr">
        <is>
          <t>ASE</t>
        </is>
      </c>
      <c r="C1527" t="inlineStr">
        <is>
          <t>Astute Metals NL</t>
        </is>
      </c>
      <c r="D1527" t="inlineStr">
        <is>
          <t>AUD</t>
        </is>
      </c>
      <c r="E1527" t="inlineStr">
        <is>
          <t>ASX</t>
        </is>
      </c>
    </row>
    <row r="1528">
      <c r="B1528" t="inlineStr">
        <is>
          <t>FOS</t>
        </is>
      </c>
      <c r="C1528" t="inlineStr">
        <is>
          <t>FOS Capital Ltd</t>
        </is>
      </c>
      <c r="D1528" t="inlineStr">
        <is>
          <t>AUD</t>
        </is>
      </c>
      <c r="E1528" t="inlineStr">
        <is>
          <t>ASX</t>
        </is>
      </c>
    </row>
    <row r="1529">
      <c r="B1529" t="inlineStr">
        <is>
          <t>NCCGA</t>
        </is>
      </c>
      <c r="C1529" t="inlineStr">
        <is>
          <t>Naos Emerging Opportunities Company Ltd</t>
        </is>
      </c>
      <c r="D1529" t="inlineStr">
        <is>
          <t>AUD</t>
        </is>
      </c>
      <c r="E1529" t="inlineStr">
        <is>
          <t>ASX</t>
        </is>
      </c>
    </row>
    <row r="1530">
      <c r="B1530" t="inlineStr">
        <is>
          <t>ARI</t>
        </is>
      </c>
      <c r="C1530" t="inlineStr">
        <is>
          <t>Arika Resources Ltd</t>
        </is>
      </c>
      <c r="D1530" t="inlineStr">
        <is>
          <t>AUD</t>
        </is>
      </c>
      <c r="E1530" t="inlineStr">
        <is>
          <t>ASX</t>
        </is>
      </c>
    </row>
    <row r="1531">
      <c r="B1531" t="inlineStr">
        <is>
          <t>SKM</t>
        </is>
      </c>
      <c r="C1531" t="inlineStr">
        <is>
          <t>Skylark Minerals Ltd</t>
        </is>
      </c>
      <c r="D1531" t="inlineStr">
        <is>
          <t>AUD</t>
        </is>
      </c>
      <c r="E1531" t="inlineStr">
        <is>
          <t>ASX</t>
        </is>
      </c>
    </row>
    <row r="1532">
      <c r="B1532" t="inlineStr">
        <is>
          <t>AJX</t>
        </is>
      </c>
      <c r="C1532" t="inlineStr">
        <is>
          <t>Alexium International Group Ltd</t>
        </is>
      </c>
      <c r="D1532" t="inlineStr">
        <is>
          <t>AUD</t>
        </is>
      </c>
      <c r="E1532" t="inlineStr">
        <is>
          <t>ASX</t>
        </is>
      </c>
    </row>
    <row r="1533">
      <c r="B1533" t="inlineStr">
        <is>
          <t>POS</t>
        </is>
      </c>
      <c r="C1533" t="inlineStr">
        <is>
          <t>Poseidon Nickel Ltd</t>
        </is>
      </c>
      <c r="D1533" t="inlineStr">
        <is>
          <t>AUD</t>
        </is>
      </c>
      <c r="E1533" t="inlineStr">
        <is>
          <t>ASX</t>
        </is>
      </c>
    </row>
    <row r="1534">
      <c r="B1534" t="inlineStr">
        <is>
          <t>S66</t>
        </is>
      </c>
      <c r="C1534" t="inlineStr">
        <is>
          <t>Star Combo Pharma Ltd</t>
        </is>
      </c>
      <c r="D1534" t="inlineStr">
        <is>
          <t>AUD</t>
        </is>
      </c>
      <c r="E1534" t="inlineStr">
        <is>
          <t>ASX</t>
        </is>
      </c>
    </row>
    <row r="1535">
      <c r="B1535" t="inlineStr">
        <is>
          <t>OEC</t>
        </is>
      </c>
      <c r="C1535" t="inlineStr">
        <is>
          <t>Orbital Corporation Ltd</t>
        </is>
      </c>
      <c r="D1535" t="inlineStr">
        <is>
          <t>AUD</t>
        </is>
      </c>
      <c r="E1535" t="inlineStr">
        <is>
          <t>ASX</t>
        </is>
      </c>
    </row>
    <row r="1536">
      <c r="B1536" t="inlineStr">
        <is>
          <t>POD</t>
        </is>
      </c>
      <c r="C1536" t="inlineStr">
        <is>
          <t>Podium Minerals Ltd</t>
        </is>
      </c>
      <c r="D1536" t="inlineStr">
        <is>
          <t>AUD</t>
        </is>
      </c>
      <c r="E1536" t="inlineStr">
        <is>
          <t>ASX</t>
        </is>
      </c>
    </row>
    <row r="1537">
      <c r="B1537" t="inlineStr">
        <is>
          <t>CSS</t>
        </is>
      </c>
      <c r="C1537" t="inlineStr">
        <is>
          <t>Clean Seas Seafood Ltd</t>
        </is>
      </c>
      <c r="D1537" t="inlineStr">
        <is>
          <t>AUD</t>
        </is>
      </c>
      <c r="E1537" t="inlineStr">
        <is>
          <t>ASX</t>
        </is>
      </c>
    </row>
    <row r="1538">
      <c r="B1538" t="inlineStr">
        <is>
          <t>EME</t>
        </is>
      </c>
      <c r="C1538" t="inlineStr">
        <is>
          <t>Energy Metals Ltd</t>
        </is>
      </c>
      <c r="D1538" t="inlineStr">
        <is>
          <t>AUD</t>
        </is>
      </c>
      <c r="E1538" t="inlineStr">
        <is>
          <t>ASX</t>
        </is>
      </c>
    </row>
    <row r="1539">
      <c r="B1539" t="inlineStr">
        <is>
          <t>UNT</t>
        </is>
      </c>
      <c r="C1539" t="inlineStr">
        <is>
          <t>Unith Ltd</t>
        </is>
      </c>
      <c r="D1539" t="inlineStr">
        <is>
          <t>AUD</t>
        </is>
      </c>
      <c r="E1539" t="inlineStr">
        <is>
          <t>ASX</t>
        </is>
      </c>
    </row>
    <row r="1540">
      <c r="B1540" t="inlineStr">
        <is>
          <t>KNB</t>
        </is>
      </c>
      <c r="C1540" t="inlineStr">
        <is>
          <t>Koonenberry Gold Ltd</t>
        </is>
      </c>
      <c r="D1540" t="inlineStr">
        <is>
          <t>AUD</t>
        </is>
      </c>
      <c r="E1540" t="inlineStr">
        <is>
          <t>ASX</t>
        </is>
      </c>
    </row>
    <row r="1541">
      <c r="B1541" t="inlineStr">
        <is>
          <t>ZNC</t>
        </is>
      </c>
      <c r="C1541" t="inlineStr">
        <is>
          <t>Zenith Minerals Ltd</t>
        </is>
      </c>
      <c r="D1541" t="inlineStr">
        <is>
          <t>AUD</t>
        </is>
      </c>
      <c r="E1541" t="inlineStr">
        <is>
          <t>ASX</t>
        </is>
      </c>
    </row>
    <row r="1542">
      <c r="B1542" t="inlineStr">
        <is>
          <t>EPM</t>
        </is>
      </c>
      <c r="C1542" t="inlineStr">
        <is>
          <t>Eclipse Metals Ltd</t>
        </is>
      </c>
      <c r="D1542" t="inlineStr">
        <is>
          <t>AUD</t>
        </is>
      </c>
      <c r="E1542" t="inlineStr">
        <is>
          <t>ASX</t>
        </is>
      </c>
    </row>
    <row r="1543">
      <c r="B1543" t="inlineStr">
        <is>
          <t>CST</t>
        </is>
      </c>
      <c r="C1543" t="inlineStr">
        <is>
          <t>Castile Resources Ltd</t>
        </is>
      </c>
      <c r="D1543" t="inlineStr">
        <is>
          <t>AUD</t>
        </is>
      </c>
      <c r="E1543" t="inlineStr">
        <is>
          <t>ASX</t>
        </is>
      </c>
    </row>
    <row r="1544">
      <c r="B1544" t="inlineStr">
        <is>
          <t>IXU</t>
        </is>
      </c>
      <c r="C1544" t="inlineStr">
        <is>
          <t>Ixup Ltd</t>
        </is>
      </c>
      <c r="D1544" t="inlineStr">
        <is>
          <t>AUD</t>
        </is>
      </c>
      <c r="E1544" t="inlineStr">
        <is>
          <t>ASX</t>
        </is>
      </c>
    </row>
    <row r="1545">
      <c r="B1545" t="inlineStr">
        <is>
          <t>HHR</t>
        </is>
      </c>
      <c r="C1545" t="inlineStr">
        <is>
          <t>Hartshead Resources NL</t>
        </is>
      </c>
      <c r="D1545" t="inlineStr">
        <is>
          <t>AUD</t>
        </is>
      </c>
      <c r="E1545" t="inlineStr">
        <is>
          <t>ASX</t>
        </is>
      </c>
    </row>
    <row r="1546">
      <c r="B1546" t="inlineStr">
        <is>
          <t>EMB</t>
        </is>
      </c>
      <c r="C1546" t="inlineStr">
        <is>
          <t>Embelton Ltd</t>
        </is>
      </c>
      <c r="D1546" t="inlineStr">
        <is>
          <t>AUD</t>
        </is>
      </c>
      <c r="E1546" t="inlineStr">
        <is>
          <t>ASX</t>
        </is>
      </c>
    </row>
    <row r="1547">
      <c r="B1547" t="inlineStr">
        <is>
          <t>TGH</t>
        </is>
      </c>
      <c r="C1547" t="inlineStr">
        <is>
          <t>Terragen Holdings Ltd</t>
        </is>
      </c>
      <c r="D1547" t="inlineStr">
        <is>
          <t>AUD</t>
        </is>
      </c>
      <c r="E1547" t="inlineStr">
        <is>
          <t>ASX</t>
        </is>
      </c>
    </row>
    <row r="1548">
      <c r="B1548" t="inlineStr">
        <is>
          <t>RPM</t>
        </is>
      </c>
      <c r="C1548" t="inlineStr">
        <is>
          <t>RPM Automotive Group Ltd</t>
        </is>
      </c>
      <c r="D1548" t="inlineStr">
        <is>
          <t>AUD</t>
        </is>
      </c>
      <c r="E1548" t="inlineStr">
        <is>
          <t>ASX</t>
        </is>
      </c>
    </row>
    <row r="1549">
      <c r="B1549" t="inlineStr">
        <is>
          <t>JAV</t>
        </is>
      </c>
      <c r="C1549" t="inlineStr">
        <is>
          <t>Javelin Minerals Ltd</t>
        </is>
      </c>
      <c r="D1549" t="inlineStr">
        <is>
          <t>AUD</t>
        </is>
      </c>
      <c r="E1549" t="inlineStr">
        <is>
          <t>ASX</t>
        </is>
      </c>
    </row>
    <row r="1550">
      <c r="B1550" t="inlineStr">
        <is>
          <t>JRHG</t>
        </is>
      </c>
      <c r="C1550" t="inlineStr">
        <is>
          <t>Jpmorgan GL Re En in EQH Active ETF (Managed Fund)</t>
        </is>
      </c>
      <c r="D1550" t="inlineStr">
        <is>
          <t>AUD</t>
        </is>
      </c>
      <c r="E1550" t="inlineStr">
        <is>
          <t>ASX</t>
        </is>
      </c>
    </row>
    <row r="1551">
      <c r="B1551" t="inlineStr">
        <is>
          <t>FNX</t>
        </is>
      </c>
      <c r="C1551" t="inlineStr">
        <is>
          <t>Finexia Financial Group Ltd</t>
        </is>
      </c>
      <c r="D1551" t="inlineStr">
        <is>
          <t>AUD</t>
        </is>
      </c>
      <c r="E1551" t="inlineStr">
        <is>
          <t>ASX</t>
        </is>
      </c>
    </row>
    <row r="1552">
      <c r="B1552" t="inlineStr">
        <is>
          <t>LGM</t>
        </is>
      </c>
      <c r="C1552" t="inlineStr">
        <is>
          <t>Legacy Minerals Holdings Ltd</t>
        </is>
      </c>
      <c r="D1552" t="inlineStr">
        <is>
          <t>AUD</t>
        </is>
      </c>
      <c r="E1552" t="inlineStr">
        <is>
          <t>ASX</t>
        </is>
      </c>
    </row>
    <row r="1553">
      <c r="B1553" t="inlineStr">
        <is>
          <t>FPP</t>
        </is>
      </c>
      <c r="C1553" t="inlineStr">
        <is>
          <t>Fat Prophets Global Property Fund</t>
        </is>
      </c>
      <c r="D1553" t="inlineStr">
        <is>
          <t>AUD</t>
        </is>
      </c>
      <c r="E1553" t="inlineStr">
        <is>
          <t>ASX</t>
        </is>
      </c>
    </row>
    <row r="1554">
      <c r="B1554" t="inlineStr">
        <is>
          <t>NOV</t>
        </is>
      </c>
      <c r="C1554" t="inlineStr">
        <is>
          <t>Novatti Group Ltd</t>
        </is>
      </c>
      <c r="D1554" t="inlineStr">
        <is>
          <t>AUD</t>
        </is>
      </c>
      <c r="E1554" t="inlineStr">
        <is>
          <t>ASX</t>
        </is>
      </c>
    </row>
    <row r="1555">
      <c r="B1555" t="inlineStr">
        <is>
          <t>INV</t>
        </is>
      </c>
      <c r="C1555" t="inlineStr">
        <is>
          <t>Investsmart Group Ltd</t>
        </is>
      </c>
      <c r="D1555" t="inlineStr">
        <is>
          <t>AUD</t>
        </is>
      </c>
      <c r="E1555" t="inlineStr">
        <is>
          <t>ASX</t>
        </is>
      </c>
    </row>
    <row r="1556">
      <c r="B1556" t="inlineStr">
        <is>
          <t>GSN</t>
        </is>
      </c>
      <c r="C1556" t="inlineStr">
        <is>
          <t>Great Southern Mining Ltd</t>
        </is>
      </c>
      <c r="D1556" t="inlineStr">
        <is>
          <t>AUD</t>
        </is>
      </c>
      <c r="E1556" t="inlineStr">
        <is>
          <t>ASX</t>
        </is>
      </c>
    </row>
    <row r="1557">
      <c r="B1557" t="inlineStr">
        <is>
          <t>BEO</t>
        </is>
      </c>
      <c r="C1557" t="inlineStr">
        <is>
          <t>Beonic Ltd</t>
        </is>
      </c>
      <c r="D1557" t="inlineStr">
        <is>
          <t>AUD</t>
        </is>
      </c>
      <c r="E1557" t="inlineStr">
        <is>
          <t>ASX</t>
        </is>
      </c>
    </row>
    <row r="1558">
      <c r="B1558" t="inlineStr">
        <is>
          <t>VML</t>
        </is>
      </c>
      <c r="C1558" t="inlineStr">
        <is>
          <t>Vital Metals Ltd</t>
        </is>
      </c>
      <c r="D1558" t="inlineStr">
        <is>
          <t>AUD</t>
        </is>
      </c>
      <c r="E1558" t="inlineStr">
        <is>
          <t>ASX</t>
        </is>
      </c>
    </row>
    <row r="1559">
      <c r="B1559" t="inlineStr">
        <is>
          <t>CLU</t>
        </is>
      </c>
      <c r="C1559" t="inlineStr">
        <is>
          <t>Cluey Ltd</t>
        </is>
      </c>
      <c r="D1559" t="inlineStr">
        <is>
          <t>AUD</t>
        </is>
      </c>
      <c r="E1559" t="inlineStr">
        <is>
          <t>ASX</t>
        </is>
      </c>
    </row>
    <row r="1560">
      <c r="B1560" t="inlineStr">
        <is>
          <t>EXT</t>
        </is>
      </c>
      <c r="C1560" t="inlineStr">
        <is>
          <t>Excite Technology Services Ltd</t>
        </is>
      </c>
      <c r="D1560" t="inlineStr">
        <is>
          <t>AUD</t>
        </is>
      </c>
      <c r="E1560" t="inlineStr">
        <is>
          <t>ASX</t>
        </is>
      </c>
    </row>
    <row r="1561">
      <c r="B1561" t="inlineStr">
        <is>
          <t>CXU</t>
        </is>
      </c>
      <c r="C1561" t="inlineStr">
        <is>
          <t>Cauldron Energy Ltd</t>
        </is>
      </c>
      <c r="D1561" t="inlineStr">
        <is>
          <t>AUD</t>
        </is>
      </c>
      <c r="E1561" t="inlineStr">
        <is>
          <t>ASX</t>
        </is>
      </c>
    </row>
    <row r="1562">
      <c r="B1562" t="inlineStr">
        <is>
          <t>VR8</t>
        </is>
      </c>
      <c r="C1562" t="inlineStr">
        <is>
          <t>Vanadium Resources Ltd</t>
        </is>
      </c>
      <c r="D1562" t="inlineStr">
        <is>
          <t>AUD</t>
        </is>
      </c>
      <c r="E1562" t="inlineStr">
        <is>
          <t>ASX</t>
        </is>
      </c>
    </row>
    <row r="1563">
      <c r="B1563" t="inlineStr">
        <is>
          <t>SOC</t>
        </is>
      </c>
      <c r="C1563" t="inlineStr">
        <is>
          <t>Soco Corporation Ltd</t>
        </is>
      </c>
      <c r="D1563" t="inlineStr">
        <is>
          <t>AUD</t>
        </is>
      </c>
      <c r="E1563" t="inlineStr">
        <is>
          <t>ASX</t>
        </is>
      </c>
    </row>
    <row r="1564">
      <c r="B1564" t="inlineStr">
        <is>
          <t>LEX</t>
        </is>
      </c>
      <c r="C1564" t="inlineStr">
        <is>
          <t>Lefroy Exploration Ltd</t>
        </is>
      </c>
      <c r="D1564" t="inlineStr">
        <is>
          <t>AUD</t>
        </is>
      </c>
      <c r="E1564" t="inlineStr">
        <is>
          <t>ASX</t>
        </is>
      </c>
    </row>
    <row r="1565">
      <c r="B1565" t="inlineStr">
        <is>
          <t>RWD</t>
        </is>
      </c>
      <c r="C1565" t="inlineStr">
        <is>
          <t>Reward Minerals Ltd</t>
        </is>
      </c>
      <c r="D1565" t="inlineStr">
        <is>
          <t>AUD</t>
        </is>
      </c>
      <c r="E1565" t="inlineStr">
        <is>
          <t>ASX</t>
        </is>
      </c>
    </row>
    <row r="1566">
      <c r="B1566" t="inlineStr">
        <is>
          <t>FBM</t>
        </is>
      </c>
      <c r="C1566" t="inlineStr">
        <is>
          <t>Future Battery Minerals Ltd</t>
        </is>
      </c>
      <c r="D1566" t="inlineStr">
        <is>
          <t>AUD</t>
        </is>
      </c>
      <c r="E1566" t="inlineStr">
        <is>
          <t>ASX</t>
        </is>
      </c>
    </row>
    <row r="1567">
      <c r="B1567" t="inlineStr">
        <is>
          <t>LPD</t>
        </is>
      </c>
      <c r="C1567" t="inlineStr">
        <is>
          <t>Lepidico Ltd</t>
        </is>
      </c>
      <c r="D1567" t="inlineStr">
        <is>
          <t>AUD</t>
        </is>
      </c>
      <c r="E1567" t="inlineStr">
        <is>
          <t>ASX</t>
        </is>
      </c>
    </row>
    <row r="1568">
      <c r="B1568" t="inlineStr">
        <is>
          <t>BB1</t>
        </is>
      </c>
      <c r="C1568" t="inlineStr">
        <is>
          <t>Blinklab Ltd</t>
        </is>
      </c>
      <c r="D1568" t="inlineStr">
        <is>
          <t>AUD</t>
        </is>
      </c>
      <c r="E1568" t="inlineStr">
        <is>
          <t>ASX</t>
        </is>
      </c>
    </row>
    <row r="1569">
      <c r="B1569" t="inlineStr">
        <is>
          <t>FFG</t>
        </is>
      </c>
      <c r="C1569" t="inlineStr">
        <is>
          <t>Fatfish Group Ltd</t>
        </is>
      </c>
      <c r="D1569" t="inlineStr">
        <is>
          <t>AUD</t>
        </is>
      </c>
      <c r="E1569" t="inlineStr">
        <is>
          <t>ASX</t>
        </is>
      </c>
    </row>
    <row r="1570">
      <c r="B1570" t="inlineStr">
        <is>
          <t>EMD</t>
        </is>
      </c>
      <c r="C1570" t="inlineStr">
        <is>
          <t>Emyria Ltd</t>
        </is>
      </c>
      <c r="D1570" t="inlineStr">
        <is>
          <t>AUD</t>
        </is>
      </c>
      <c r="E1570" t="inlineStr">
        <is>
          <t>ASX</t>
        </is>
      </c>
    </row>
    <row r="1571">
      <c r="B1571" t="inlineStr">
        <is>
          <t>FSG</t>
        </is>
      </c>
      <c r="C1571" t="inlineStr">
        <is>
          <t>Field Solutions Holdings Ltd</t>
        </is>
      </c>
      <c r="D1571" t="inlineStr">
        <is>
          <t>AUD</t>
        </is>
      </c>
      <c r="E1571" t="inlineStr">
        <is>
          <t>ASX</t>
        </is>
      </c>
    </row>
    <row r="1572">
      <c r="B1572" t="inlineStr">
        <is>
          <t>CND</t>
        </is>
      </c>
      <c r="C1572" t="inlineStr">
        <is>
          <t>Condor Energy Ltd</t>
        </is>
      </c>
      <c r="D1572" t="inlineStr">
        <is>
          <t>AUD</t>
        </is>
      </c>
      <c r="E1572" t="inlineStr">
        <is>
          <t>ASX</t>
        </is>
      </c>
    </row>
    <row r="1573">
      <c r="B1573" t="inlineStr">
        <is>
          <t>HIQ</t>
        </is>
      </c>
      <c r="C1573" t="inlineStr">
        <is>
          <t>HITIQ Ltd</t>
        </is>
      </c>
      <c r="D1573" t="inlineStr">
        <is>
          <t>AUD</t>
        </is>
      </c>
      <c r="E1573" t="inlineStr">
        <is>
          <t>ASX</t>
        </is>
      </c>
    </row>
    <row r="1574">
      <c r="B1574" t="inlineStr">
        <is>
          <t>AKA</t>
        </is>
      </c>
      <c r="C1574" t="inlineStr">
        <is>
          <t>Aureka Ltd</t>
        </is>
      </c>
      <c r="D1574" t="inlineStr">
        <is>
          <t>AUD</t>
        </is>
      </c>
      <c r="E1574" t="inlineStr">
        <is>
          <t>ASX</t>
        </is>
      </c>
    </row>
    <row r="1575">
      <c r="B1575" t="inlineStr">
        <is>
          <t>NUC</t>
        </is>
      </c>
      <c r="C1575" t="inlineStr">
        <is>
          <t>Nuchev Ltd</t>
        </is>
      </c>
      <c r="D1575" t="inlineStr">
        <is>
          <t>AUD</t>
        </is>
      </c>
      <c r="E1575" t="inlineStr">
        <is>
          <t>ASX</t>
        </is>
      </c>
    </row>
    <row r="1576">
      <c r="B1576" t="inlineStr">
        <is>
          <t>AUZ</t>
        </is>
      </c>
      <c r="C1576" t="inlineStr">
        <is>
          <t>Australian Mines Ltd</t>
        </is>
      </c>
      <c r="D1576" t="inlineStr">
        <is>
          <t>AUD</t>
        </is>
      </c>
      <c r="E1576" t="inlineStr">
        <is>
          <t>ASX</t>
        </is>
      </c>
    </row>
    <row r="1577">
      <c r="B1577" t="inlineStr">
        <is>
          <t>WWG</t>
        </is>
      </c>
      <c r="C1577" t="inlineStr">
        <is>
          <t>Wiseway Group Ltd</t>
        </is>
      </c>
      <c r="D1577" t="inlineStr">
        <is>
          <t>AUD</t>
        </is>
      </c>
      <c r="E1577" t="inlineStr">
        <is>
          <t>ASX</t>
        </is>
      </c>
    </row>
    <row r="1578">
      <c r="B1578" t="inlineStr">
        <is>
          <t>MGL</t>
        </is>
      </c>
      <c r="C1578" t="inlineStr">
        <is>
          <t>Magontec Ltd</t>
        </is>
      </c>
      <c r="D1578" t="inlineStr">
        <is>
          <t>AUD</t>
        </is>
      </c>
      <c r="E1578" t="inlineStr">
        <is>
          <t>ASX</t>
        </is>
      </c>
    </row>
    <row r="1579">
      <c r="B1579" t="inlineStr">
        <is>
          <t>HMD</t>
        </is>
      </c>
      <c r="C1579" t="inlineStr">
        <is>
          <t>Heramed Ltd</t>
        </is>
      </c>
      <c r="D1579" t="inlineStr">
        <is>
          <t>AUD</t>
        </is>
      </c>
      <c r="E1579" t="inlineStr">
        <is>
          <t>ASX</t>
        </is>
      </c>
    </row>
    <row r="1580">
      <c r="B1580" t="inlineStr">
        <is>
          <t>ACP</t>
        </is>
      </c>
      <c r="C1580" t="inlineStr">
        <is>
          <t>Audalia Resources Ltd</t>
        </is>
      </c>
      <c r="D1580" t="inlineStr">
        <is>
          <t>AUD</t>
        </is>
      </c>
      <c r="E1580" t="inlineStr">
        <is>
          <t>ASX</t>
        </is>
      </c>
    </row>
    <row r="1581">
      <c r="B1581" t="inlineStr">
        <is>
          <t>TRP</t>
        </is>
      </c>
      <c r="C1581" t="inlineStr">
        <is>
          <t>Tissue Repair Ltd</t>
        </is>
      </c>
      <c r="D1581" t="inlineStr">
        <is>
          <t>AUD</t>
        </is>
      </c>
      <c r="E1581" t="inlineStr">
        <is>
          <t>ASX</t>
        </is>
      </c>
    </row>
    <row r="1582">
      <c r="B1582" t="inlineStr">
        <is>
          <t>NVU</t>
        </is>
      </c>
      <c r="C1582" t="inlineStr">
        <is>
          <t>Nanoveu Ltd</t>
        </is>
      </c>
      <c r="D1582" t="inlineStr">
        <is>
          <t>AUD</t>
        </is>
      </c>
      <c r="E1582" t="inlineStr">
        <is>
          <t>ASX</t>
        </is>
      </c>
    </row>
    <row r="1583">
      <c r="B1583" t="inlineStr">
        <is>
          <t>FRE</t>
        </is>
      </c>
      <c r="C1583" t="inlineStr">
        <is>
          <t>Firebrick Pharma Ltd</t>
        </is>
      </c>
      <c r="D1583" t="inlineStr">
        <is>
          <t>AUD</t>
        </is>
      </c>
      <c r="E1583" t="inlineStr">
        <is>
          <t>ASX</t>
        </is>
      </c>
    </row>
    <row r="1584">
      <c r="B1584" t="inlineStr">
        <is>
          <t>EDU</t>
        </is>
      </c>
      <c r="C1584" t="inlineStr">
        <is>
          <t>EDU Holdings Ltd</t>
        </is>
      </c>
      <c r="D1584" t="inlineStr">
        <is>
          <t>AUD</t>
        </is>
      </c>
      <c r="E1584" t="inlineStr">
        <is>
          <t>ASX</t>
        </is>
      </c>
    </row>
    <row r="1585">
      <c r="B1585" t="inlineStr">
        <is>
          <t>VN8</t>
        </is>
      </c>
      <c r="C1585" t="inlineStr">
        <is>
          <t>VONEX Ltd</t>
        </is>
      </c>
      <c r="D1585" t="inlineStr">
        <is>
          <t>AUD</t>
        </is>
      </c>
      <c r="E1585" t="inlineStr">
        <is>
          <t>ASX</t>
        </is>
      </c>
    </row>
    <row r="1586">
      <c r="B1586" t="inlineStr">
        <is>
          <t>BTC</t>
        </is>
      </c>
      <c r="C1586" t="inlineStr">
        <is>
          <t>BTC Health Ltd</t>
        </is>
      </c>
      <c r="D1586" t="inlineStr">
        <is>
          <t>AUD</t>
        </is>
      </c>
      <c r="E1586" t="inlineStr">
        <is>
          <t>ASX</t>
        </is>
      </c>
    </row>
    <row r="1587">
      <c r="B1587" t="inlineStr">
        <is>
          <t>ALPH</t>
        </is>
      </c>
      <c r="C1587" t="inlineStr">
        <is>
          <t>Schroder Global Equity Alpha Fund - Active ETF</t>
        </is>
      </c>
      <c r="D1587" t="inlineStr">
        <is>
          <t>AUD</t>
        </is>
      </c>
      <c r="E1587" t="inlineStr">
        <is>
          <t>ASX</t>
        </is>
      </c>
    </row>
    <row r="1588">
      <c r="B1588" t="inlineStr">
        <is>
          <t>USHY</t>
        </is>
      </c>
      <c r="C1588" t="inlineStr">
        <is>
          <t>Global X Usd High Yield Bond ETF(Currency Hedged)</t>
        </is>
      </c>
      <c r="D1588" t="inlineStr">
        <is>
          <t>AUD</t>
        </is>
      </c>
      <c r="E1588" t="inlineStr">
        <is>
          <t>ASX</t>
        </is>
      </c>
    </row>
    <row r="1589">
      <c r="B1589" t="inlineStr">
        <is>
          <t>TIA</t>
        </is>
      </c>
      <c r="C1589" t="inlineStr">
        <is>
          <t>Tian An Australia Ltd</t>
        </is>
      </c>
      <c r="D1589" t="inlineStr">
        <is>
          <t>AUD</t>
        </is>
      </c>
      <c r="E1589" t="inlineStr">
        <is>
          <t>ASX</t>
        </is>
      </c>
    </row>
    <row r="1590">
      <c r="B1590" t="inlineStr">
        <is>
          <t>EQX</t>
        </is>
      </c>
      <c r="C1590" t="inlineStr">
        <is>
          <t>Equatorial Resources Ltd</t>
        </is>
      </c>
      <c r="D1590" t="inlineStr">
        <is>
          <t>AUD</t>
        </is>
      </c>
      <c r="E1590" t="inlineStr">
        <is>
          <t>ASX</t>
        </is>
      </c>
    </row>
    <row r="1591">
      <c r="B1591" t="inlineStr">
        <is>
          <t>HCL</t>
        </is>
      </c>
      <c r="C1591" t="inlineStr">
        <is>
          <t>Highcom Ltd</t>
        </is>
      </c>
      <c r="D1591" t="inlineStr">
        <is>
          <t>AUD</t>
        </is>
      </c>
      <c r="E1591" t="inlineStr">
        <is>
          <t>ASX</t>
        </is>
      </c>
    </row>
    <row r="1592">
      <c r="B1592" t="inlineStr">
        <is>
          <t>CAV</t>
        </is>
      </c>
      <c r="C1592" t="inlineStr">
        <is>
          <t>Carnavale Resources Ltd</t>
        </is>
      </c>
      <c r="D1592" t="inlineStr">
        <is>
          <t>AUD</t>
        </is>
      </c>
      <c r="E1592" t="inlineStr">
        <is>
          <t>ASX</t>
        </is>
      </c>
    </row>
    <row r="1593">
      <c r="B1593" t="inlineStr">
        <is>
          <t>ASV</t>
        </is>
      </c>
      <c r="C1593" t="inlineStr">
        <is>
          <t>Asset Vision Co Ltd</t>
        </is>
      </c>
      <c r="D1593" t="inlineStr">
        <is>
          <t>AUD</t>
        </is>
      </c>
      <c r="E1593" t="inlineStr">
        <is>
          <t>ASX</t>
        </is>
      </c>
    </row>
    <row r="1594">
      <c r="B1594" t="inlineStr">
        <is>
          <t>HIO</t>
        </is>
      </c>
      <c r="C1594" t="inlineStr">
        <is>
          <t>Hawsons Iron Ltd</t>
        </is>
      </c>
      <c r="D1594" t="inlineStr">
        <is>
          <t>AUD</t>
        </is>
      </c>
      <c r="E1594" t="inlineStr">
        <is>
          <t>ASX</t>
        </is>
      </c>
    </row>
    <row r="1595">
      <c r="B1595" t="inlineStr">
        <is>
          <t>ODY</t>
        </is>
      </c>
      <c r="C1595" t="inlineStr">
        <is>
          <t>Odyssey Gold Ltd</t>
        </is>
      </c>
      <c r="D1595" t="inlineStr">
        <is>
          <t>AUD</t>
        </is>
      </c>
      <c r="E1595" t="inlineStr">
        <is>
          <t>ASX</t>
        </is>
      </c>
    </row>
    <row r="1596">
      <c r="B1596" t="inlineStr">
        <is>
          <t>VPR</t>
        </is>
      </c>
      <c r="C1596" t="inlineStr">
        <is>
          <t>Volt Group Ltd</t>
        </is>
      </c>
      <c r="D1596" t="inlineStr">
        <is>
          <t>AUD</t>
        </is>
      </c>
      <c r="E1596" t="inlineStr">
        <is>
          <t>ASX</t>
        </is>
      </c>
    </row>
    <row r="1597">
      <c r="B1597" t="inlineStr">
        <is>
          <t>BSX</t>
        </is>
      </c>
      <c r="C1597" t="inlineStr">
        <is>
          <t>Blackstone Minerals Ltd</t>
        </is>
      </c>
      <c r="D1597" t="inlineStr">
        <is>
          <t>AUD</t>
        </is>
      </c>
      <c r="E1597" t="inlineStr">
        <is>
          <t>ASX</t>
        </is>
      </c>
    </row>
    <row r="1598">
      <c r="B1598" t="inlineStr">
        <is>
          <t>IME</t>
        </is>
      </c>
      <c r="C1598" t="inlineStr">
        <is>
          <t>Imexhs Ltd</t>
        </is>
      </c>
      <c r="D1598" t="inlineStr">
        <is>
          <t>AUD</t>
        </is>
      </c>
      <c r="E1598" t="inlineStr">
        <is>
          <t>ASX</t>
        </is>
      </c>
    </row>
    <row r="1599">
      <c r="B1599" t="inlineStr">
        <is>
          <t>KRR</t>
        </is>
      </c>
      <c r="C1599" t="inlineStr">
        <is>
          <t>King River Resources Ltd</t>
        </is>
      </c>
      <c r="D1599" t="inlineStr">
        <is>
          <t>AUD</t>
        </is>
      </c>
      <c r="E1599" t="inlineStr">
        <is>
          <t>ASX</t>
        </is>
      </c>
    </row>
    <row r="1600">
      <c r="B1600" t="inlineStr">
        <is>
          <t>ETPMPM</t>
        </is>
      </c>
      <c r="C1600" t="inlineStr">
        <is>
          <t>Global X Metal Securities Australia Ltd</t>
        </is>
      </c>
      <c r="D1600" t="inlineStr">
        <is>
          <t>AUD</t>
        </is>
      </c>
      <c r="E1600" t="inlineStr">
        <is>
          <t>ASX</t>
        </is>
      </c>
    </row>
    <row r="1601">
      <c r="B1601" t="inlineStr">
        <is>
          <t>MLS</t>
        </is>
      </c>
      <c r="C1601" t="inlineStr">
        <is>
          <t>Metals Australia Ltd</t>
        </is>
      </c>
      <c r="D1601" t="inlineStr">
        <is>
          <t>AUD</t>
        </is>
      </c>
      <c r="E1601" t="inlineStr">
        <is>
          <t>ASX</t>
        </is>
      </c>
    </row>
    <row r="1602">
      <c r="B1602" t="inlineStr">
        <is>
          <t>HTG</t>
        </is>
      </c>
      <c r="C1602" t="inlineStr">
        <is>
          <t>Harvest Technology Group Ltd</t>
        </is>
      </c>
      <c r="D1602" t="inlineStr">
        <is>
          <t>AUD</t>
        </is>
      </c>
      <c r="E1602" t="inlineStr">
        <is>
          <t>ASX</t>
        </is>
      </c>
    </row>
    <row r="1603">
      <c r="B1603" t="inlineStr">
        <is>
          <t>KAM</t>
        </is>
      </c>
      <c r="C1603" t="inlineStr">
        <is>
          <t>K2 Asset Management Holdings Ltd</t>
        </is>
      </c>
      <c r="D1603" t="inlineStr">
        <is>
          <t>AUD</t>
        </is>
      </c>
      <c r="E1603" t="inlineStr">
        <is>
          <t>ASX</t>
        </is>
      </c>
    </row>
    <row r="1604">
      <c r="B1604" t="inlineStr">
        <is>
          <t>AAP</t>
        </is>
      </c>
      <c r="C1604" t="inlineStr">
        <is>
          <t>Australian Agricultural Projects Ltd</t>
        </is>
      </c>
      <c r="D1604" t="inlineStr">
        <is>
          <t>AUD</t>
        </is>
      </c>
      <c r="E1604" t="inlineStr">
        <is>
          <t>ASX</t>
        </is>
      </c>
    </row>
    <row r="1605">
      <c r="B1605" t="inlineStr">
        <is>
          <t>ADY</t>
        </is>
      </c>
      <c r="C1605" t="inlineStr">
        <is>
          <t>Admiralty Resources NL</t>
        </is>
      </c>
      <c r="D1605" t="inlineStr">
        <is>
          <t>AUD</t>
        </is>
      </c>
      <c r="E1605" t="inlineStr">
        <is>
          <t>ASX</t>
        </is>
      </c>
    </row>
    <row r="1606">
      <c r="B1606" t="inlineStr">
        <is>
          <t>NACGA</t>
        </is>
      </c>
      <c r="C1606" t="inlineStr">
        <is>
          <t>Naos Ex-50 Opportunities Company Ltd</t>
        </is>
      </c>
      <c r="D1606" t="inlineStr">
        <is>
          <t>AUD</t>
        </is>
      </c>
      <c r="E1606" t="inlineStr">
        <is>
          <t>ASX</t>
        </is>
      </c>
    </row>
    <row r="1607">
      <c r="B1607" t="inlineStr">
        <is>
          <t>GAS</t>
        </is>
      </c>
      <c r="C1607" t="inlineStr">
        <is>
          <t>State GAS Ltd</t>
        </is>
      </c>
      <c r="D1607" t="inlineStr">
        <is>
          <t>AUD</t>
        </is>
      </c>
      <c r="E1607" t="inlineStr">
        <is>
          <t>ASX</t>
        </is>
      </c>
    </row>
    <row r="1608">
      <c r="B1608" t="inlineStr">
        <is>
          <t>TRM</t>
        </is>
      </c>
      <c r="C1608" t="inlineStr">
        <is>
          <t>Truscott Mining Corporation Ltd</t>
        </is>
      </c>
      <c r="D1608" t="inlineStr">
        <is>
          <t>AUD</t>
        </is>
      </c>
      <c r="E1608" t="inlineStr">
        <is>
          <t>ASX</t>
        </is>
      </c>
    </row>
    <row r="1609">
      <c r="B1609" t="inlineStr">
        <is>
          <t>BAS</t>
        </is>
      </c>
      <c r="C1609" t="inlineStr">
        <is>
          <t>Bass Oil Ltd</t>
        </is>
      </c>
      <c r="D1609" t="inlineStr">
        <is>
          <t>AUD</t>
        </is>
      </c>
      <c r="E1609" t="inlineStr">
        <is>
          <t>ASX</t>
        </is>
      </c>
    </row>
    <row r="1610">
      <c r="B1610" t="inlineStr">
        <is>
          <t>LAM</t>
        </is>
      </c>
      <c r="C1610" t="inlineStr">
        <is>
          <t>Laramide Resources Ltd</t>
        </is>
      </c>
      <c r="D1610" t="inlineStr">
        <is>
          <t>AUD</t>
        </is>
      </c>
      <c r="E1610" t="inlineStr">
        <is>
          <t>ASX</t>
        </is>
      </c>
    </row>
    <row r="1611">
      <c r="B1611" t="inlineStr">
        <is>
          <t>CBL</t>
        </is>
      </c>
      <c r="C1611" t="inlineStr">
        <is>
          <t>Control Bionics Ltd</t>
        </is>
      </c>
      <c r="D1611" t="inlineStr">
        <is>
          <t>AUD</t>
        </is>
      </c>
      <c r="E1611" t="inlineStr">
        <is>
          <t>ASX</t>
        </is>
      </c>
    </row>
    <row r="1612">
      <c r="B1612" t="inlineStr">
        <is>
          <t>PET</t>
        </is>
      </c>
      <c r="C1612" t="inlineStr">
        <is>
          <t>Phoslock Environmental Technologies Ltd</t>
        </is>
      </c>
      <c r="D1612" t="inlineStr">
        <is>
          <t>AUD</t>
        </is>
      </c>
      <c r="E1612" t="inlineStr">
        <is>
          <t>ASX</t>
        </is>
      </c>
    </row>
    <row r="1613">
      <c r="B1613" t="inlineStr">
        <is>
          <t>HPR</t>
        </is>
      </c>
      <c r="C1613" t="inlineStr">
        <is>
          <t>High Peak Royalties Ltd</t>
        </is>
      </c>
      <c r="D1613" t="inlineStr">
        <is>
          <t>AUD</t>
        </is>
      </c>
      <c r="E1613" t="inlineStr">
        <is>
          <t>ASX</t>
        </is>
      </c>
    </row>
    <row r="1614">
      <c r="B1614" t="inlineStr">
        <is>
          <t>NYR</t>
        </is>
      </c>
      <c r="C1614" t="inlineStr">
        <is>
          <t>Nyrada Inc</t>
        </is>
      </c>
      <c r="D1614" t="inlineStr">
        <is>
          <t>AUD</t>
        </is>
      </c>
      <c r="E1614" t="inlineStr">
        <is>
          <t>ASX</t>
        </is>
      </c>
    </row>
    <row r="1615">
      <c r="B1615" t="inlineStr">
        <is>
          <t>SLS</t>
        </is>
      </c>
      <c r="C1615" t="inlineStr">
        <is>
          <t>Solstice Minerals Ltd</t>
        </is>
      </c>
      <c r="D1615" t="inlineStr">
        <is>
          <t>AUD</t>
        </is>
      </c>
      <c r="E1615" t="inlineStr">
        <is>
          <t>ASX</t>
        </is>
      </c>
    </row>
    <row r="1616">
      <c r="B1616" t="inlineStr">
        <is>
          <t>DXN</t>
        </is>
      </c>
      <c r="C1616" t="inlineStr">
        <is>
          <t>DXN Ltd</t>
        </is>
      </c>
      <c r="D1616" t="inlineStr">
        <is>
          <t>AUD</t>
        </is>
      </c>
      <c r="E1616" t="inlineStr">
        <is>
          <t>ASX</t>
        </is>
      </c>
    </row>
    <row r="1617">
      <c r="B1617" t="inlineStr">
        <is>
          <t>G11</t>
        </is>
      </c>
      <c r="C1617" t="inlineStr">
        <is>
          <t>G11 Resources Ltd</t>
        </is>
      </c>
      <c r="D1617" t="inlineStr">
        <is>
          <t>AUD</t>
        </is>
      </c>
      <c r="E1617" t="inlineStr">
        <is>
          <t>ASX</t>
        </is>
      </c>
    </row>
    <row r="1618">
      <c r="B1618" t="inlineStr">
        <is>
          <t>VRC</t>
        </is>
      </c>
      <c r="C1618" t="inlineStr">
        <is>
          <t>Volt Resources Ltd</t>
        </is>
      </c>
      <c r="D1618" t="inlineStr">
        <is>
          <t>AUD</t>
        </is>
      </c>
      <c r="E1618" t="inlineStr">
        <is>
          <t>ASX</t>
        </is>
      </c>
    </row>
    <row r="1619">
      <c r="B1619" t="inlineStr">
        <is>
          <t>KZR</t>
        </is>
      </c>
      <c r="C1619" t="inlineStr">
        <is>
          <t>Kalamazoo Resources Ltd</t>
        </is>
      </c>
      <c r="D1619" t="inlineStr">
        <is>
          <t>AUD</t>
        </is>
      </c>
      <c r="E1619" t="inlineStr">
        <is>
          <t>ASX</t>
        </is>
      </c>
    </row>
    <row r="1620">
      <c r="B1620" t="inlineStr">
        <is>
          <t>PTL</t>
        </is>
      </c>
      <c r="C1620" t="inlineStr">
        <is>
          <t>Prestal Holdings Ltd</t>
        </is>
      </c>
      <c r="D1620" t="inlineStr">
        <is>
          <t>AUD</t>
        </is>
      </c>
      <c r="E1620" t="inlineStr">
        <is>
          <t>ASX</t>
        </is>
      </c>
    </row>
    <row r="1621">
      <c r="B1621" t="inlineStr">
        <is>
          <t>RXH</t>
        </is>
      </c>
      <c r="C1621" t="inlineStr">
        <is>
          <t>Rewardle Holdings Ltd</t>
        </is>
      </c>
      <c r="D1621" t="inlineStr">
        <is>
          <t>AUD</t>
        </is>
      </c>
      <c r="E1621" t="inlineStr">
        <is>
          <t>ASX</t>
        </is>
      </c>
    </row>
    <row r="1622">
      <c r="B1622" t="inlineStr">
        <is>
          <t>CCO</t>
        </is>
      </c>
      <c r="C1622" t="inlineStr">
        <is>
          <t>The Calmer Co International Ltd</t>
        </is>
      </c>
      <c r="D1622" t="inlineStr">
        <is>
          <t>AUD</t>
        </is>
      </c>
      <c r="E1622" t="inlineStr">
        <is>
          <t>ASX</t>
        </is>
      </c>
    </row>
    <row r="1623">
      <c r="B1623" t="inlineStr">
        <is>
          <t>LDR</t>
        </is>
      </c>
      <c r="C1623" t="inlineStr">
        <is>
          <t>Lode Resources Ltd</t>
        </is>
      </c>
      <c r="D1623" t="inlineStr">
        <is>
          <t>AUD</t>
        </is>
      </c>
      <c r="E1623" t="inlineStr">
        <is>
          <t>ASX</t>
        </is>
      </c>
    </row>
    <row r="1624">
      <c r="B1624" t="inlineStr">
        <is>
          <t>RNT</t>
        </is>
      </c>
      <c r="C1624" t="inlineStr">
        <is>
          <t>Rent.com.Au Ltd</t>
        </is>
      </c>
      <c r="D1624" t="inlineStr">
        <is>
          <t>AUD</t>
        </is>
      </c>
      <c r="E1624" t="inlineStr">
        <is>
          <t>ASX</t>
        </is>
      </c>
    </row>
    <row r="1625">
      <c r="B1625" t="inlineStr">
        <is>
          <t>RLT</t>
        </is>
      </c>
      <c r="C1625" t="inlineStr">
        <is>
          <t>Renergen Ltd</t>
        </is>
      </c>
      <c r="D1625" t="inlineStr">
        <is>
          <t>AUD</t>
        </is>
      </c>
      <c r="E1625" t="inlineStr">
        <is>
          <t>ASX</t>
        </is>
      </c>
    </row>
    <row r="1626">
      <c r="B1626" t="inlineStr">
        <is>
          <t>BTE</t>
        </is>
      </c>
      <c r="C1626" t="inlineStr">
        <is>
          <t>Botala Energy Ltd</t>
        </is>
      </c>
      <c r="D1626" t="inlineStr">
        <is>
          <t>AUD</t>
        </is>
      </c>
      <c r="E1626" t="inlineStr">
        <is>
          <t>ASX</t>
        </is>
      </c>
    </row>
    <row r="1627">
      <c r="B1627" t="inlineStr">
        <is>
          <t>GRV</t>
        </is>
      </c>
      <c r="C1627" t="inlineStr">
        <is>
          <t>Greenvale Energy Ltd</t>
        </is>
      </c>
      <c r="D1627" t="inlineStr">
        <is>
          <t>AUD</t>
        </is>
      </c>
      <c r="E1627" t="inlineStr">
        <is>
          <t>ASX</t>
        </is>
      </c>
    </row>
    <row r="1628">
      <c r="B1628" t="inlineStr">
        <is>
          <t>EPX</t>
        </is>
      </c>
      <c r="C1628" t="inlineStr">
        <is>
          <t>Ep&amp;T Global Ltd</t>
        </is>
      </c>
      <c r="D1628" t="inlineStr">
        <is>
          <t>AUD</t>
        </is>
      </c>
      <c r="E1628" t="inlineStr">
        <is>
          <t>ASX</t>
        </is>
      </c>
    </row>
    <row r="1629">
      <c r="B1629" t="inlineStr">
        <is>
          <t>JLL</t>
        </is>
      </c>
      <c r="C1629" t="inlineStr">
        <is>
          <t>Jindalee Lithium Ltd</t>
        </is>
      </c>
      <c r="D1629" t="inlineStr">
        <is>
          <t>AUD</t>
        </is>
      </c>
      <c r="E1629" t="inlineStr">
        <is>
          <t>ASX</t>
        </is>
      </c>
    </row>
    <row r="1630">
      <c r="B1630" t="inlineStr">
        <is>
          <t>MHI</t>
        </is>
      </c>
      <c r="C1630" t="inlineStr">
        <is>
          <t>Merchant House International Ltd</t>
        </is>
      </c>
      <c r="D1630" t="inlineStr">
        <is>
          <t>AUD</t>
        </is>
      </c>
      <c r="E1630" t="inlineStr">
        <is>
          <t>ASX</t>
        </is>
      </c>
    </row>
    <row r="1631">
      <c r="B1631" t="inlineStr">
        <is>
          <t>MDC</t>
        </is>
      </c>
      <c r="C1631" t="inlineStr">
        <is>
          <t>Medlab Clinical Ltd</t>
        </is>
      </c>
      <c r="D1631" t="inlineStr">
        <is>
          <t>AUD</t>
        </is>
      </c>
      <c r="E1631" t="inlineStr">
        <is>
          <t>ASX</t>
        </is>
      </c>
    </row>
    <row r="1632">
      <c r="B1632" t="inlineStr">
        <is>
          <t>AUK</t>
        </is>
      </c>
      <c r="C1632" t="inlineStr">
        <is>
          <t>Aumake Ltd</t>
        </is>
      </c>
      <c r="D1632" t="inlineStr">
        <is>
          <t>AUD</t>
        </is>
      </c>
      <c r="E1632" t="inlineStr">
        <is>
          <t>ASX</t>
        </is>
      </c>
    </row>
    <row r="1633">
      <c r="B1633" t="inlineStr">
        <is>
          <t>AMO</t>
        </is>
      </c>
      <c r="C1633" t="inlineStr">
        <is>
          <t>Ambertech Ltd</t>
        </is>
      </c>
      <c r="D1633" t="inlineStr">
        <is>
          <t>AUD</t>
        </is>
      </c>
      <c r="E1633" t="inlineStr">
        <is>
          <t>ASX</t>
        </is>
      </c>
    </row>
    <row r="1634">
      <c r="B1634" t="inlineStr">
        <is>
          <t>CXM</t>
        </is>
      </c>
      <c r="C1634" t="inlineStr">
        <is>
          <t>Centrex Ltd</t>
        </is>
      </c>
      <c r="D1634" t="inlineStr">
        <is>
          <t>AUD</t>
        </is>
      </c>
      <c r="E1634" t="inlineStr">
        <is>
          <t>ASX</t>
        </is>
      </c>
    </row>
    <row r="1635">
      <c r="B1635" t="inlineStr">
        <is>
          <t>HAW</t>
        </is>
      </c>
      <c r="C1635" t="inlineStr">
        <is>
          <t>Hawthorn Resources Ltd</t>
        </is>
      </c>
      <c r="D1635" t="inlineStr">
        <is>
          <t>AUD</t>
        </is>
      </c>
      <c r="E1635" t="inlineStr">
        <is>
          <t>ASX</t>
        </is>
      </c>
    </row>
    <row r="1636">
      <c r="B1636" t="inlineStr">
        <is>
          <t>ELT</t>
        </is>
      </c>
      <c r="C1636" t="inlineStr">
        <is>
          <t>Elementos Ltd</t>
        </is>
      </c>
      <c r="D1636" t="inlineStr">
        <is>
          <t>AUD</t>
        </is>
      </c>
      <c r="E1636" t="inlineStr">
        <is>
          <t>ASX</t>
        </is>
      </c>
    </row>
    <row r="1637">
      <c r="B1637" t="inlineStr">
        <is>
          <t>TZL</t>
        </is>
      </c>
      <c r="C1637" t="inlineStr">
        <is>
          <t>TZ Ltd</t>
        </is>
      </c>
      <c r="D1637" t="inlineStr">
        <is>
          <t>AUD</t>
        </is>
      </c>
      <c r="E1637" t="inlineStr">
        <is>
          <t>ASX</t>
        </is>
      </c>
    </row>
    <row r="1638">
      <c r="B1638" t="inlineStr">
        <is>
          <t>TOR</t>
        </is>
      </c>
      <c r="C1638" t="inlineStr">
        <is>
          <t>Torque Metals Ltd</t>
        </is>
      </c>
      <c r="D1638" t="inlineStr">
        <is>
          <t>AUD</t>
        </is>
      </c>
      <c r="E1638" t="inlineStr">
        <is>
          <t>ASX</t>
        </is>
      </c>
    </row>
    <row r="1639">
      <c r="B1639" t="inlineStr">
        <is>
          <t>AKO</t>
        </is>
      </c>
      <c r="C1639" t="inlineStr">
        <is>
          <t>Akora Resources Ltd</t>
        </is>
      </c>
      <c r="D1639" t="inlineStr">
        <is>
          <t>AUD</t>
        </is>
      </c>
      <c r="E1639" t="inlineStr">
        <is>
          <t>ASX</t>
        </is>
      </c>
    </row>
    <row r="1640">
      <c r="B1640" t="inlineStr">
        <is>
          <t>ARMR</t>
        </is>
      </c>
      <c r="C1640" t="inlineStr">
        <is>
          <t>Betashares Global Defence ETF</t>
        </is>
      </c>
      <c r="D1640" t="inlineStr">
        <is>
          <t>AUD</t>
        </is>
      </c>
      <c r="E1640" t="inlineStr">
        <is>
          <t>ASX</t>
        </is>
      </c>
    </row>
    <row r="1641">
      <c r="B1641" t="inlineStr">
        <is>
          <t>CF1</t>
        </is>
      </c>
      <c r="C1641" t="inlineStr">
        <is>
          <t>Complii Fintech Solutions Ltd</t>
        </is>
      </c>
      <c r="D1641" t="inlineStr">
        <is>
          <t>AUD</t>
        </is>
      </c>
      <c r="E1641" t="inlineStr">
        <is>
          <t>ASX</t>
        </is>
      </c>
    </row>
    <row r="1642">
      <c r="B1642" t="inlineStr">
        <is>
          <t>TRU</t>
        </is>
      </c>
      <c r="C1642" t="inlineStr">
        <is>
          <t>Truscreen Group Ltd</t>
        </is>
      </c>
      <c r="D1642" t="inlineStr">
        <is>
          <t>AUD</t>
        </is>
      </c>
      <c r="E1642" t="inlineStr">
        <is>
          <t>ASX</t>
        </is>
      </c>
    </row>
    <row r="1643">
      <c r="B1643" t="inlineStr">
        <is>
          <t>ADX</t>
        </is>
      </c>
      <c r="C1643" t="inlineStr">
        <is>
          <t>ADX Energy Ltd</t>
        </is>
      </c>
      <c r="D1643" t="inlineStr">
        <is>
          <t>AUD</t>
        </is>
      </c>
      <c r="E1643" t="inlineStr">
        <is>
          <t>ASX</t>
        </is>
      </c>
    </row>
    <row r="1644">
      <c r="B1644" t="inlineStr">
        <is>
          <t>FUL</t>
        </is>
      </c>
      <c r="C1644" t="inlineStr">
        <is>
          <t>Fulcrum Lithium Ltd</t>
        </is>
      </c>
      <c r="D1644" t="inlineStr">
        <is>
          <t>AUD</t>
        </is>
      </c>
      <c r="E1644" t="inlineStr">
        <is>
          <t>ASX</t>
        </is>
      </c>
    </row>
    <row r="1645">
      <c r="B1645" t="inlineStr">
        <is>
          <t>IVX</t>
        </is>
      </c>
      <c r="C1645" t="inlineStr">
        <is>
          <t>Invion Ltd</t>
        </is>
      </c>
      <c r="D1645" t="inlineStr">
        <is>
          <t>AUD</t>
        </is>
      </c>
      <c r="E1645" t="inlineStr">
        <is>
          <t>ASX</t>
        </is>
      </c>
    </row>
    <row r="1646">
      <c r="B1646" t="inlineStr">
        <is>
          <t>KNI</t>
        </is>
      </c>
      <c r="C1646" t="inlineStr">
        <is>
          <t>Kuniko Ltd</t>
        </is>
      </c>
      <c r="D1646" t="inlineStr">
        <is>
          <t>AUD</t>
        </is>
      </c>
      <c r="E1646" t="inlineStr">
        <is>
          <t>ASX</t>
        </is>
      </c>
    </row>
    <row r="1647">
      <c r="B1647" t="inlineStr">
        <is>
          <t>CCE</t>
        </is>
      </c>
      <c r="C1647" t="inlineStr">
        <is>
          <t>Carnegie Clean Energy Ltd</t>
        </is>
      </c>
      <c r="D1647" t="inlineStr">
        <is>
          <t>AUD</t>
        </is>
      </c>
      <c r="E1647" t="inlineStr">
        <is>
          <t>ASX</t>
        </is>
      </c>
    </row>
    <row r="1648">
      <c r="B1648" t="inlineStr">
        <is>
          <t>EQN</t>
        </is>
      </c>
      <c r="C1648" t="inlineStr">
        <is>
          <t>Equinox Resources Ltd</t>
        </is>
      </c>
      <c r="D1648" t="inlineStr">
        <is>
          <t>AUD</t>
        </is>
      </c>
      <c r="E1648" t="inlineStr">
        <is>
          <t>ASX</t>
        </is>
      </c>
    </row>
    <row r="1649">
      <c r="B1649" t="inlineStr">
        <is>
          <t>FRB</t>
        </is>
      </c>
      <c r="C1649" t="inlineStr">
        <is>
          <t>Firebird Metals Ltd</t>
        </is>
      </c>
      <c r="D1649" t="inlineStr">
        <is>
          <t>AUD</t>
        </is>
      </c>
      <c r="E1649" t="inlineStr">
        <is>
          <t>ASX</t>
        </is>
      </c>
    </row>
    <row r="1650">
      <c r="B1650" t="inlineStr">
        <is>
          <t>LSA</t>
        </is>
      </c>
      <c r="C1650" t="inlineStr">
        <is>
          <t>Lachlan Star Ltd</t>
        </is>
      </c>
      <c r="D1650" t="inlineStr">
        <is>
          <t>AUD</t>
        </is>
      </c>
      <c r="E1650" t="inlineStr">
        <is>
          <t>ASX</t>
        </is>
      </c>
    </row>
    <row r="1651">
      <c r="B1651" t="inlineStr">
        <is>
          <t>RNV</t>
        </is>
      </c>
      <c r="C1651" t="inlineStr">
        <is>
          <t>Renerve Ltd</t>
        </is>
      </c>
      <c r="D1651" t="inlineStr">
        <is>
          <t>AUD</t>
        </is>
      </c>
      <c r="E1651" t="inlineStr">
        <is>
          <t>ASX</t>
        </is>
      </c>
    </row>
    <row r="1652">
      <c r="B1652" t="inlineStr">
        <is>
          <t>GMVW</t>
        </is>
      </c>
      <c r="C1652" t="inlineStr">
        <is>
          <t>Vaneck Geared Aust. EQUAL Weight Fund (Hedge Fund)</t>
        </is>
      </c>
      <c r="D1652" t="inlineStr">
        <is>
          <t>AUD</t>
        </is>
      </c>
      <c r="E1652" t="inlineStr">
        <is>
          <t>ASX</t>
        </is>
      </c>
    </row>
    <row r="1653">
      <c r="B1653" t="inlineStr">
        <is>
          <t>AR3</t>
        </is>
      </c>
      <c r="C1653" t="inlineStr">
        <is>
          <t>Australian Rare EARTHS Ltd</t>
        </is>
      </c>
      <c r="D1653" t="inlineStr">
        <is>
          <t>AUD</t>
        </is>
      </c>
      <c r="E1653" t="inlineStr">
        <is>
          <t>ASX</t>
        </is>
      </c>
    </row>
    <row r="1654">
      <c r="B1654" t="inlineStr">
        <is>
          <t>SHO</t>
        </is>
      </c>
      <c r="C1654" t="inlineStr">
        <is>
          <t>Sportshero Ltd</t>
        </is>
      </c>
      <c r="D1654" t="inlineStr">
        <is>
          <t>AUD</t>
        </is>
      </c>
      <c r="E1654" t="inlineStr">
        <is>
          <t>ASX</t>
        </is>
      </c>
    </row>
    <row r="1655">
      <c r="B1655" t="inlineStr">
        <is>
          <t>BLU</t>
        </is>
      </c>
      <c r="C1655" t="inlineStr">
        <is>
          <t>Blue Energy Ltd</t>
        </is>
      </c>
      <c r="D1655" t="inlineStr">
        <is>
          <t>AUD</t>
        </is>
      </c>
      <c r="E1655" t="inlineStr">
        <is>
          <t>ASX</t>
        </is>
      </c>
    </row>
    <row r="1656">
      <c r="B1656" t="inlineStr">
        <is>
          <t>ETR</t>
        </is>
      </c>
      <c r="C1656" t="inlineStr">
        <is>
          <t>ENTYR Ltd</t>
        </is>
      </c>
      <c r="D1656" t="inlineStr">
        <is>
          <t>AUD</t>
        </is>
      </c>
      <c r="E1656" t="inlineStr">
        <is>
          <t>ASX</t>
        </is>
      </c>
    </row>
    <row r="1657">
      <c r="B1657" t="inlineStr">
        <is>
          <t>IGN</t>
        </is>
      </c>
      <c r="C1657" t="inlineStr">
        <is>
          <t>Ignite Ltd</t>
        </is>
      </c>
      <c r="D1657" t="inlineStr">
        <is>
          <t>AUD</t>
        </is>
      </c>
      <c r="E1657" t="inlineStr">
        <is>
          <t>ASX</t>
        </is>
      </c>
    </row>
    <row r="1658">
      <c r="B1658" t="inlineStr">
        <is>
          <t>AXI</t>
        </is>
      </c>
      <c r="C1658" t="inlineStr">
        <is>
          <t>Axiom Properties Ltd</t>
        </is>
      </c>
      <c r="D1658" t="inlineStr">
        <is>
          <t>AUD</t>
        </is>
      </c>
      <c r="E1658" t="inlineStr">
        <is>
          <t>ASX</t>
        </is>
      </c>
    </row>
    <row r="1659">
      <c r="B1659" t="inlineStr">
        <is>
          <t>KSM</t>
        </is>
      </c>
      <c r="C1659" t="inlineStr">
        <is>
          <t>K2 Australian Small Cap Fund (Hedge Fund)</t>
        </is>
      </c>
      <c r="D1659" t="inlineStr">
        <is>
          <t>AUD</t>
        </is>
      </c>
      <c r="E1659" t="inlineStr">
        <is>
          <t>ASX</t>
        </is>
      </c>
    </row>
    <row r="1660">
      <c r="B1660" t="inlineStr">
        <is>
          <t>MKG</t>
        </is>
      </c>
      <c r="C1660" t="inlineStr">
        <is>
          <t>Mako Gold Ltd</t>
        </is>
      </c>
      <c r="D1660" t="inlineStr">
        <is>
          <t>AUD</t>
        </is>
      </c>
      <c r="E1660" t="inlineStr">
        <is>
          <t>ASX</t>
        </is>
      </c>
    </row>
    <row r="1661">
      <c r="B1661" t="inlineStr">
        <is>
          <t>MAN</t>
        </is>
      </c>
      <c r="C1661" t="inlineStr">
        <is>
          <t>Mandrake Resources Ltd</t>
        </is>
      </c>
      <c r="D1661" t="inlineStr">
        <is>
          <t>AUD</t>
        </is>
      </c>
      <c r="E1661" t="inlineStr">
        <is>
          <t>ASX</t>
        </is>
      </c>
    </row>
    <row r="1662">
      <c r="B1662" t="inlineStr">
        <is>
          <t>AZI</t>
        </is>
      </c>
      <c r="C1662" t="inlineStr">
        <is>
          <t>Altamin Ltd</t>
        </is>
      </c>
      <c r="D1662" t="inlineStr">
        <is>
          <t>AUD</t>
        </is>
      </c>
      <c r="E1662" t="inlineStr">
        <is>
          <t>ASX</t>
        </is>
      </c>
    </row>
    <row r="1663">
      <c r="B1663" t="inlineStr">
        <is>
          <t>AGH</t>
        </is>
      </c>
      <c r="C1663" t="inlineStr">
        <is>
          <t>Althea Group Holdings Ltd</t>
        </is>
      </c>
      <c r="D1663" t="inlineStr">
        <is>
          <t>AUD</t>
        </is>
      </c>
      <c r="E1663" t="inlineStr">
        <is>
          <t>ASX</t>
        </is>
      </c>
    </row>
    <row r="1664">
      <c r="B1664" t="inlineStr">
        <is>
          <t>Z2U</t>
        </is>
      </c>
      <c r="C1664" t="inlineStr">
        <is>
          <t>ZOOM2U Technologies Ltd</t>
        </is>
      </c>
      <c r="D1664" t="inlineStr">
        <is>
          <t>AUD</t>
        </is>
      </c>
      <c r="E1664" t="inlineStr">
        <is>
          <t>ASX</t>
        </is>
      </c>
    </row>
    <row r="1665">
      <c r="B1665" t="inlineStr">
        <is>
          <t>PV1</t>
        </is>
      </c>
      <c r="C1665" t="inlineStr">
        <is>
          <t>Provaris Energy Ltd</t>
        </is>
      </c>
      <c r="D1665" t="inlineStr">
        <is>
          <t>AUD</t>
        </is>
      </c>
      <c r="E1665" t="inlineStr">
        <is>
          <t>ASX</t>
        </is>
      </c>
    </row>
    <row r="1666">
      <c r="B1666" t="inlineStr">
        <is>
          <t>PVL</t>
        </is>
      </c>
      <c r="C1666" t="inlineStr">
        <is>
          <t>Powerhouse Ventures Ltd</t>
        </is>
      </c>
      <c r="D1666" t="inlineStr">
        <is>
          <t>AUD</t>
        </is>
      </c>
      <c r="E1666" t="inlineStr">
        <is>
          <t>ASX</t>
        </is>
      </c>
    </row>
    <row r="1667">
      <c r="B1667" t="inlineStr">
        <is>
          <t>RIL</t>
        </is>
      </c>
      <c r="C1667" t="inlineStr">
        <is>
          <t>Redivium Ltd</t>
        </is>
      </c>
      <c r="D1667" t="inlineStr">
        <is>
          <t>AUD</t>
        </is>
      </c>
      <c r="E1667" t="inlineStr">
        <is>
          <t>ASX</t>
        </is>
      </c>
    </row>
    <row r="1668">
      <c r="B1668" t="inlineStr">
        <is>
          <t>NGX</t>
        </is>
      </c>
      <c r="C1668" t="inlineStr">
        <is>
          <t>NGX Ltd</t>
        </is>
      </c>
      <c r="D1668" t="inlineStr">
        <is>
          <t>AUD</t>
        </is>
      </c>
      <c r="E1668" t="inlineStr">
        <is>
          <t>ASX</t>
        </is>
      </c>
    </row>
    <row r="1669">
      <c r="B1669" t="inlineStr">
        <is>
          <t>CC9</t>
        </is>
      </c>
      <c r="C1669" t="inlineStr">
        <is>
          <t>Chariot Corporation Ltd</t>
        </is>
      </c>
      <c r="D1669" t="inlineStr">
        <is>
          <t>AUD</t>
        </is>
      </c>
      <c r="E1669" t="inlineStr">
        <is>
          <t>ASX</t>
        </is>
      </c>
    </row>
    <row r="1670">
      <c r="B1670" t="inlineStr">
        <is>
          <t>BIT</t>
        </is>
      </c>
      <c r="C1670" t="inlineStr">
        <is>
          <t>Biotron Ltd</t>
        </is>
      </c>
      <c r="D1670" t="inlineStr">
        <is>
          <t>AUD</t>
        </is>
      </c>
      <c r="E1670" t="inlineStr">
        <is>
          <t>ASX</t>
        </is>
      </c>
    </row>
    <row r="1671">
      <c r="B1671" t="inlineStr">
        <is>
          <t>GTE</t>
        </is>
      </c>
      <c r="C1671" t="inlineStr">
        <is>
          <t>Great Western Exploration Ltd</t>
        </is>
      </c>
      <c r="D1671" t="inlineStr">
        <is>
          <t>AUD</t>
        </is>
      </c>
      <c r="E1671" t="inlineStr">
        <is>
          <t>ASX</t>
        </is>
      </c>
    </row>
    <row r="1672">
      <c r="B1672" t="inlineStr">
        <is>
          <t>FZR</t>
        </is>
      </c>
      <c r="C1672" t="inlineStr">
        <is>
          <t>Fitzroy River Corporation Ltd</t>
        </is>
      </c>
      <c r="D1672" t="inlineStr">
        <is>
          <t>AUD</t>
        </is>
      </c>
      <c r="E1672" t="inlineStr">
        <is>
          <t>ASX</t>
        </is>
      </c>
    </row>
    <row r="1673">
      <c r="B1673" t="inlineStr">
        <is>
          <t>DYM</t>
        </is>
      </c>
      <c r="C1673" t="inlineStr">
        <is>
          <t>Dynamic Metals Ltd</t>
        </is>
      </c>
      <c r="D1673" t="inlineStr">
        <is>
          <t>AUD</t>
        </is>
      </c>
      <c r="E1673" t="inlineStr">
        <is>
          <t>ASX</t>
        </is>
      </c>
    </row>
    <row r="1674">
      <c r="B1674" t="inlineStr">
        <is>
          <t>EGY</t>
        </is>
      </c>
      <c r="C1674" t="inlineStr">
        <is>
          <t>Energy Technologies Ltd</t>
        </is>
      </c>
      <c r="D1674" t="inlineStr">
        <is>
          <t>AUD</t>
        </is>
      </c>
      <c r="E1674" t="inlineStr">
        <is>
          <t>ASX</t>
        </is>
      </c>
    </row>
    <row r="1675">
      <c r="B1675" t="inlineStr">
        <is>
          <t>CUF</t>
        </is>
      </c>
      <c r="C1675" t="inlineStr">
        <is>
          <t>Cufe Ltd</t>
        </is>
      </c>
      <c r="D1675" t="inlineStr">
        <is>
          <t>AUD</t>
        </is>
      </c>
      <c r="E1675" t="inlineStr">
        <is>
          <t>ASX</t>
        </is>
      </c>
    </row>
    <row r="1676">
      <c r="B1676" t="inlineStr">
        <is>
          <t>GLE</t>
        </is>
      </c>
      <c r="C1676" t="inlineStr">
        <is>
          <t>GLG Corp Ltd</t>
        </is>
      </c>
      <c r="D1676" t="inlineStr">
        <is>
          <t>AUD</t>
        </is>
      </c>
      <c r="E1676" t="inlineStr">
        <is>
          <t>ASX</t>
        </is>
      </c>
    </row>
    <row r="1677">
      <c r="B1677" t="inlineStr">
        <is>
          <t>1GOV</t>
        </is>
      </c>
      <c r="C1677" t="inlineStr">
        <is>
          <t>Vaneck 1-5 Year Australian Government Bond ETF</t>
        </is>
      </c>
      <c r="D1677" t="inlineStr">
        <is>
          <t>AUD</t>
        </is>
      </c>
      <c r="E1677" t="inlineStr">
        <is>
          <t>ASX</t>
        </is>
      </c>
    </row>
    <row r="1678">
      <c r="B1678" t="inlineStr">
        <is>
          <t>AFL</t>
        </is>
      </c>
      <c r="C1678" t="inlineStr">
        <is>
          <t>Af Legal Group Ltd</t>
        </is>
      </c>
      <c r="D1678" t="inlineStr">
        <is>
          <t>AUD</t>
        </is>
      </c>
      <c r="E1678" t="inlineStr">
        <is>
          <t>ASX</t>
        </is>
      </c>
    </row>
    <row r="1679">
      <c r="B1679" t="inlineStr">
        <is>
          <t>QEM</t>
        </is>
      </c>
      <c r="C1679" t="inlineStr">
        <is>
          <t>QEM Ltd</t>
        </is>
      </c>
      <c r="D1679" t="inlineStr">
        <is>
          <t>AUD</t>
        </is>
      </c>
      <c r="E1679" t="inlineStr">
        <is>
          <t>ASX</t>
        </is>
      </c>
    </row>
    <row r="1680">
      <c r="B1680" t="inlineStr">
        <is>
          <t>TYX</t>
        </is>
      </c>
      <c r="C1680" t="inlineStr">
        <is>
          <t>Tyranna Resources Ltd</t>
        </is>
      </c>
      <c r="D1680" t="inlineStr">
        <is>
          <t>AUD</t>
        </is>
      </c>
      <c r="E1680" t="inlineStr">
        <is>
          <t>ASX</t>
        </is>
      </c>
    </row>
    <row r="1681">
      <c r="B1681" t="inlineStr">
        <is>
          <t>PGM</t>
        </is>
      </c>
      <c r="C1681" t="inlineStr">
        <is>
          <t>Platina Resources Ltd</t>
        </is>
      </c>
      <c r="D1681" t="inlineStr">
        <is>
          <t>AUD</t>
        </is>
      </c>
      <c r="E1681" t="inlineStr">
        <is>
          <t>ASX</t>
        </is>
      </c>
    </row>
    <row r="1682">
      <c r="B1682" t="inlineStr">
        <is>
          <t>IBAL</t>
        </is>
      </c>
      <c r="C1682" t="inlineStr">
        <is>
          <t>Ishares Balanced Esg ETF</t>
        </is>
      </c>
      <c r="D1682" t="inlineStr">
        <is>
          <t>AUD</t>
        </is>
      </c>
      <c r="E1682" t="inlineStr">
        <is>
          <t>ASX</t>
        </is>
      </c>
    </row>
    <row r="1683">
      <c r="B1683" t="inlineStr">
        <is>
          <t>SPQ</t>
        </is>
      </c>
      <c r="C1683" t="inlineStr">
        <is>
          <t>Superior Resources Ltd</t>
        </is>
      </c>
      <c r="D1683" t="inlineStr">
        <is>
          <t>AUD</t>
        </is>
      </c>
      <c r="E1683" t="inlineStr">
        <is>
          <t>ASX</t>
        </is>
      </c>
    </row>
    <row r="1684">
      <c r="B1684" t="inlineStr">
        <is>
          <t>TSI</t>
        </is>
      </c>
      <c r="C1684" t="inlineStr">
        <is>
          <t>Top Shelf International Holdings Ltd</t>
        </is>
      </c>
      <c r="D1684" t="inlineStr">
        <is>
          <t>AUD</t>
        </is>
      </c>
      <c r="E1684" t="inlineStr">
        <is>
          <t>ASX</t>
        </is>
      </c>
    </row>
    <row r="1685">
      <c r="B1685" t="inlineStr">
        <is>
          <t>LYN</t>
        </is>
      </c>
      <c r="C1685" t="inlineStr">
        <is>
          <t>Lycaon Resources Ltd</t>
        </is>
      </c>
      <c r="D1685" t="inlineStr">
        <is>
          <t>AUD</t>
        </is>
      </c>
      <c r="E1685" t="inlineStr">
        <is>
          <t>ASX</t>
        </is>
      </c>
    </row>
    <row r="1686">
      <c r="B1686" t="inlineStr">
        <is>
          <t>MPP</t>
        </is>
      </c>
      <c r="C1686" t="inlineStr">
        <is>
          <t>Metro Performance Glass Ltd</t>
        </is>
      </c>
      <c r="D1686" t="inlineStr">
        <is>
          <t>AUD</t>
        </is>
      </c>
      <c r="E1686" t="inlineStr">
        <is>
          <t>ASX</t>
        </is>
      </c>
    </row>
    <row r="1687">
      <c r="B1687" t="inlineStr">
        <is>
          <t>1CG</t>
        </is>
      </c>
      <c r="C1687" t="inlineStr">
        <is>
          <t>One Click Group Ltd</t>
        </is>
      </c>
      <c r="D1687" t="inlineStr">
        <is>
          <t>AUD</t>
        </is>
      </c>
      <c r="E1687" t="inlineStr">
        <is>
          <t>ASX</t>
        </is>
      </c>
    </row>
    <row r="1688">
      <c r="B1688" t="inlineStr">
        <is>
          <t>INF</t>
        </is>
      </c>
      <c r="C1688" t="inlineStr">
        <is>
          <t>Infinity Lithium Corporation Ltd</t>
        </is>
      </c>
      <c r="D1688" t="inlineStr">
        <is>
          <t>AUD</t>
        </is>
      </c>
      <c r="E1688" t="inlineStr">
        <is>
          <t>ASX</t>
        </is>
      </c>
    </row>
    <row r="1689">
      <c r="B1689" t="inlineStr">
        <is>
          <t>ASO</t>
        </is>
      </c>
      <c r="C1689" t="inlineStr">
        <is>
          <t>Aston Minerals Ltd</t>
        </is>
      </c>
      <c r="D1689" t="inlineStr">
        <is>
          <t>AUD</t>
        </is>
      </c>
      <c r="E1689" t="inlineStr">
        <is>
          <t>ASX</t>
        </is>
      </c>
    </row>
    <row r="1690">
      <c r="B1690" t="inlineStr">
        <is>
          <t>NOR</t>
        </is>
      </c>
      <c r="C1690" t="inlineStr">
        <is>
          <t>Norwood Systems Ltd</t>
        </is>
      </c>
      <c r="D1690" t="inlineStr">
        <is>
          <t>AUD</t>
        </is>
      </c>
      <c r="E1690" t="inlineStr">
        <is>
          <t>ASX</t>
        </is>
      </c>
    </row>
    <row r="1691">
      <c r="B1691" t="inlineStr">
        <is>
          <t>WSI</t>
        </is>
      </c>
      <c r="C1691" t="inlineStr">
        <is>
          <t>Weststar Industrial Ltd</t>
        </is>
      </c>
      <c r="D1691" t="inlineStr">
        <is>
          <t>AUD</t>
        </is>
      </c>
      <c r="E1691" t="inlineStr">
        <is>
          <t>ASX</t>
        </is>
      </c>
    </row>
    <row r="1692">
      <c r="B1692" t="inlineStr">
        <is>
          <t>ZGL</t>
        </is>
      </c>
      <c r="C1692" t="inlineStr">
        <is>
          <t>ZICOM Group Ltd</t>
        </is>
      </c>
      <c r="D1692" t="inlineStr">
        <is>
          <t>AUD</t>
        </is>
      </c>
      <c r="E1692" t="inlineStr">
        <is>
          <t>ASX</t>
        </is>
      </c>
    </row>
    <row r="1693">
      <c r="B1693" t="inlineStr">
        <is>
          <t>ACR</t>
        </is>
      </c>
      <c r="C1693" t="inlineStr">
        <is>
          <t>ACRUX Ltd</t>
        </is>
      </c>
      <c r="D1693" t="inlineStr">
        <is>
          <t>AUD</t>
        </is>
      </c>
      <c r="E1693" t="inlineStr">
        <is>
          <t>ASX</t>
        </is>
      </c>
    </row>
    <row r="1694">
      <c r="B1694" t="inlineStr">
        <is>
          <t>DKM</t>
        </is>
      </c>
      <c r="C1694" t="inlineStr">
        <is>
          <t>Duketon Mining Ltd</t>
        </is>
      </c>
      <c r="D1694" t="inlineStr">
        <is>
          <t>AUD</t>
        </is>
      </c>
      <c r="E1694" t="inlineStr">
        <is>
          <t>ASX</t>
        </is>
      </c>
    </row>
    <row r="1695">
      <c r="B1695" t="inlineStr">
        <is>
          <t>NAG</t>
        </is>
      </c>
      <c r="C1695" t="inlineStr">
        <is>
          <t>Nagambie Resources Ltd</t>
        </is>
      </c>
      <c r="D1695" t="inlineStr">
        <is>
          <t>AUD</t>
        </is>
      </c>
      <c r="E1695" t="inlineStr">
        <is>
          <t>ASX</t>
        </is>
      </c>
    </row>
    <row r="1696">
      <c r="B1696" t="inlineStr">
        <is>
          <t>SHN</t>
        </is>
      </c>
      <c r="C1696" t="inlineStr">
        <is>
          <t>Sunshine Metals Ltd</t>
        </is>
      </c>
      <c r="D1696" t="inlineStr">
        <is>
          <t>AUD</t>
        </is>
      </c>
      <c r="E1696" t="inlineStr">
        <is>
          <t>ASX</t>
        </is>
      </c>
    </row>
    <row r="1697">
      <c r="B1697" t="inlineStr">
        <is>
          <t>TEE</t>
        </is>
      </c>
      <c r="C1697" t="inlineStr">
        <is>
          <t>Top End Energy Ltd</t>
        </is>
      </c>
      <c r="D1697" t="inlineStr">
        <is>
          <t>AUD</t>
        </is>
      </c>
      <c r="E1697" t="inlineStr">
        <is>
          <t>ASX</t>
        </is>
      </c>
    </row>
    <row r="1698">
      <c r="B1698" t="inlineStr">
        <is>
          <t>MGT</t>
        </is>
      </c>
      <c r="C1698" t="inlineStr">
        <is>
          <t>Magnetite Mines Ltd</t>
        </is>
      </c>
      <c r="D1698" t="inlineStr">
        <is>
          <t>AUD</t>
        </is>
      </c>
      <c r="E1698" t="inlineStr">
        <is>
          <t>ASX</t>
        </is>
      </c>
    </row>
    <row r="1699">
      <c r="B1699" t="inlineStr">
        <is>
          <t>HJZP</t>
        </is>
      </c>
      <c r="C1699" t="inlineStr">
        <is>
          <t>HEJAZ Property Fund (Managed Fund)</t>
        </is>
      </c>
      <c r="D1699" t="inlineStr">
        <is>
          <t>AUD</t>
        </is>
      </c>
      <c r="E1699" t="inlineStr">
        <is>
          <t>ASX</t>
        </is>
      </c>
    </row>
    <row r="1700">
      <c r="B1700" t="inlineStr">
        <is>
          <t>EQE</t>
        </is>
      </c>
      <c r="C1700" t="inlineStr">
        <is>
          <t>EQUUS Mining Ltd</t>
        </is>
      </c>
      <c r="D1700" t="inlineStr">
        <is>
          <t>AUD</t>
        </is>
      </c>
      <c r="E1700" t="inlineStr">
        <is>
          <t>ASX</t>
        </is>
      </c>
    </row>
    <row r="1701">
      <c r="B1701" t="inlineStr">
        <is>
          <t>WMG</t>
        </is>
      </c>
      <c r="C1701" t="inlineStr">
        <is>
          <t>Western Mines Group Ltd</t>
        </is>
      </c>
      <c r="D1701" t="inlineStr">
        <is>
          <t>AUD</t>
        </is>
      </c>
      <c r="E1701" t="inlineStr">
        <is>
          <t>ASX</t>
        </is>
      </c>
    </row>
    <row r="1702">
      <c r="B1702" t="inlineStr">
        <is>
          <t>CR1</t>
        </is>
      </c>
      <c r="C1702" t="inlineStr">
        <is>
          <t>Constellation Resources Ltd</t>
        </is>
      </c>
      <c r="D1702" t="inlineStr">
        <is>
          <t>AUD</t>
        </is>
      </c>
      <c r="E1702" t="inlineStr">
        <is>
          <t>ASX</t>
        </is>
      </c>
    </row>
    <row r="1703">
      <c r="B1703" t="inlineStr">
        <is>
          <t>IG6</t>
        </is>
      </c>
      <c r="C1703" t="inlineStr">
        <is>
          <t>International Graphite Ltd</t>
        </is>
      </c>
      <c r="D1703" t="inlineStr">
        <is>
          <t>AUD</t>
        </is>
      </c>
      <c r="E1703" t="inlineStr">
        <is>
          <t>ASX</t>
        </is>
      </c>
    </row>
    <row r="1704">
      <c r="B1704" t="inlineStr">
        <is>
          <t>TON</t>
        </is>
      </c>
      <c r="C1704" t="inlineStr">
        <is>
          <t>Triton Minerals Ltd</t>
        </is>
      </c>
      <c r="D1704" t="inlineStr">
        <is>
          <t>AUD</t>
        </is>
      </c>
      <c r="E1704" t="inlineStr">
        <is>
          <t>ASX</t>
        </is>
      </c>
    </row>
    <row r="1705">
      <c r="B1705" t="inlineStr">
        <is>
          <t>BPP</t>
        </is>
      </c>
      <c r="C1705" t="inlineStr">
        <is>
          <t>Babylon Pump &amp; Power Ltd</t>
        </is>
      </c>
      <c r="D1705" t="inlineStr">
        <is>
          <t>AUD</t>
        </is>
      </c>
      <c r="E1705" t="inlineStr">
        <is>
          <t>ASX</t>
        </is>
      </c>
    </row>
    <row r="1706">
      <c r="B1706" t="inlineStr">
        <is>
          <t>SKK</t>
        </is>
      </c>
      <c r="C1706" t="inlineStr">
        <is>
          <t>Stakk Ltd</t>
        </is>
      </c>
      <c r="D1706" t="inlineStr">
        <is>
          <t>AUD</t>
        </is>
      </c>
      <c r="E1706" t="inlineStr">
        <is>
          <t>ASX</t>
        </is>
      </c>
    </row>
    <row r="1707">
      <c r="B1707" t="inlineStr">
        <is>
          <t>RFT</t>
        </is>
      </c>
      <c r="C1707" t="inlineStr">
        <is>
          <t>Rectifier Technologies Ltd</t>
        </is>
      </c>
      <c r="D1707" t="inlineStr">
        <is>
          <t>AUD</t>
        </is>
      </c>
      <c r="E1707" t="inlineStr">
        <is>
          <t>ASX</t>
        </is>
      </c>
    </row>
    <row r="1708">
      <c r="B1708" t="inlineStr">
        <is>
          <t>PEC</t>
        </is>
      </c>
      <c r="C1708" t="inlineStr">
        <is>
          <t>Perpetual Resources Ltd</t>
        </is>
      </c>
      <c r="D1708" t="inlineStr">
        <is>
          <t>AUD</t>
        </is>
      </c>
      <c r="E1708" t="inlineStr">
        <is>
          <t>ASX</t>
        </is>
      </c>
    </row>
    <row r="1709">
      <c r="B1709" t="inlineStr">
        <is>
          <t>AJL</t>
        </is>
      </c>
      <c r="C1709" t="inlineStr">
        <is>
          <t>AJ Lucas Group Ltd</t>
        </is>
      </c>
      <c r="D1709" t="inlineStr">
        <is>
          <t>AUD</t>
        </is>
      </c>
      <c r="E1709" t="inlineStr">
        <is>
          <t>ASX</t>
        </is>
      </c>
    </row>
    <row r="1710">
      <c r="B1710" t="inlineStr">
        <is>
          <t>DRIV</t>
        </is>
      </c>
      <c r="C1710" t="inlineStr">
        <is>
          <t>Betashares Electric Vehicles and FTR Mobility ETF</t>
        </is>
      </c>
      <c r="D1710" t="inlineStr">
        <is>
          <t>AUD</t>
        </is>
      </c>
      <c r="E1710" t="inlineStr">
        <is>
          <t>ASX</t>
        </is>
      </c>
    </row>
    <row r="1711">
      <c r="B1711" t="inlineStr">
        <is>
          <t>VMC</t>
        </is>
      </c>
      <c r="C1711" t="inlineStr">
        <is>
          <t>Venus Metals Corporation Ltd</t>
        </is>
      </c>
      <c r="D1711" t="inlineStr">
        <is>
          <t>AUD</t>
        </is>
      </c>
      <c r="E1711" t="inlineStr">
        <is>
          <t>ASX</t>
        </is>
      </c>
    </row>
    <row r="1712">
      <c r="B1712" t="inlineStr">
        <is>
          <t>ASP</t>
        </is>
      </c>
      <c r="C1712" t="inlineStr">
        <is>
          <t>Aspermont Ltd</t>
        </is>
      </c>
      <c r="D1712" t="inlineStr">
        <is>
          <t>AUD</t>
        </is>
      </c>
      <c r="E1712" t="inlineStr">
        <is>
          <t>ASX</t>
        </is>
      </c>
    </row>
    <row r="1713">
      <c r="B1713" t="inlineStr">
        <is>
          <t>IGRO</t>
        </is>
      </c>
      <c r="C1713" t="inlineStr">
        <is>
          <t>Ishares High Growth Esg ETF</t>
        </is>
      </c>
      <c r="D1713" t="inlineStr">
        <is>
          <t>AUD</t>
        </is>
      </c>
      <c r="E1713" t="inlineStr">
        <is>
          <t>ASX</t>
        </is>
      </c>
    </row>
    <row r="1714">
      <c r="B1714" t="inlineStr">
        <is>
          <t>JNDQ</t>
        </is>
      </c>
      <c r="C1714" t="inlineStr">
        <is>
          <t>Betashares Nasdaq Next Gen 100 ETF</t>
        </is>
      </c>
      <c r="D1714" t="inlineStr">
        <is>
          <t>AUD</t>
        </is>
      </c>
      <c r="E1714" t="inlineStr">
        <is>
          <t>ASX</t>
        </is>
      </c>
    </row>
    <row r="1715">
      <c r="B1715" t="inlineStr">
        <is>
          <t>GUL</t>
        </is>
      </c>
      <c r="C1715" t="inlineStr">
        <is>
          <t>Gullewa Ltd</t>
        </is>
      </c>
      <c r="D1715" t="inlineStr">
        <is>
          <t>AUD</t>
        </is>
      </c>
      <c r="E1715" t="inlineStr">
        <is>
          <t>ASX</t>
        </is>
      </c>
    </row>
    <row r="1716">
      <c r="B1716" t="inlineStr">
        <is>
          <t>CMD</t>
        </is>
      </c>
      <c r="C1716" t="inlineStr">
        <is>
          <t>Cassius Mining Ltd</t>
        </is>
      </c>
      <c r="D1716" t="inlineStr">
        <is>
          <t>AUD</t>
        </is>
      </c>
      <c r="E1716" t="inlineStr">
        <is>
          <t>ASX</t>
        </is>
      </c>
    </row>
    <row r="1717">
      <c r="B1717" t="inlineStr">
        <is>
          <t>BPH</t>
        </is>
      </c>
      <c r="C1717" t="inlineStr">
        <is>
          <t>BPH Energy Ltd</t>
        </is>
      </c>
      <c r="D1717" t="inlineStr">
        <is>
          <t>AUD</t>
        </is>
      </c>
      <c r="E1717" t="inlineStr">
        <is>
          <t>ASX</t>
        </is>
      </c>
    </row>
    <row r="1718">
      <c r="B1718" t="inlineStr">
        <is>
          <t>CRR</t>
        </is>
      </c>
      <c r="C1718" t="inlineStr">
        <is>
          <t>Critical Resources Ltd</t>
        </is>
      </c>
      <c r="D1718" t="inlineStr">
        <is>
          <t>AUD</t>
        </is>
      </c>
      <c r="E1718" t="inlineStr">
        <is>
          <t>ASX</t>
        </is>
      </c>
    </row>
    <row r="1719">
      <c r="B1719" t="inlineStr">
        <is>
          <t>AT1</t>
        </is>
      </c>
      <c r="C1719" t="inlineStr">
        <is>
          <t>Atomo Diagnostics Ltd</t>
        </is>
      </c>
      <c r="D1719" t="inlineStr">
        <is>
          <t>AUD</t>
        </is>
      </c>
      <c r="E1719" t="inlineStr">
        <is>
          <t>ASX</t>
        </is>
      </c>
    </row>
    <row r="1720">
      <c r="B1720" t="inlineStr">
        <is>
          <t>BNL</t>
        </is>
      </c>
      <c r="C1720" t="inlineStr">
        <is>
          <t>Blue Star Helium Ltd</t>
        </is>
      </c>
      <c r="D1720" t="inlineStr">
        <is>
          <t>AUD</t>
        </is>
      </c>
      <c r="E1720" t="inlineStr">
        <is>
          <t>ASX</t>
        </is>
      </c>
    </row>
    <row r="1721">
      <c r="B1721" t="inlineStr">
        <is>
          <t>WIN</t>
        </is>
      </c>
      <c r="C1721" t="inlineStr">
        <is>
          <t>WIN Metals Ltd</t>
        </is>
      </c>
      <c r="D1721" t="inlineStr">
        <is>
          <t>AUD</t>
        </is>
      </c>
      <c r="E1721" t="inlineStr">
        <is>
          <t>ASX</t>
        </is>
      </c>
    </row>
    <row r="1722">
      <c r="B1722" t="inlineStr">
        <is>
          <t>AZ9</t>
        </is>
      </c>
      <c r="C1722" t="inlineStr">
        <is>
          <t>Asian Battery Metals Plc</t>
        </is>
      </c>
      <c r="D1722" t="inlineStr">
        <is>
          <t>AUD</t>
        </is>
      </c>
      <c r="E1722" t="inlineStr">
        <is>
          <t>ASX</t>
        </is>
      </c>
    </row>
    <row r="1723">
      <c r="B1723" t="inlineStr">
        <is>
          <t>RLF</t>
        </is>
      </c>
      <c r="C1723" t="inlineStr">
        <is>
          <t>RLF Agtech Ltd</t>
        </is>
      </c>
      <c r="D1723" t="inlineStr">
        <is>
          <t>AUD</t>
        </is>
      </c>
      <c r="E1723" t="inlineStr">
        <is>
          <t>ASX</t>
        </is>
      </c>
    </row>
    <row r="1724">
      <c r="B1724" t="inlineStr">
        <is>
          <t>HVY</t>
        </is>
      </c>
      <c r="C1724" t="inlineStr">
        <is>
          <t>Heavy Minerals Ltd</t>
        </is>
      </c>
      <c r="D1724" t="inlineStr">
        <is>
          <t>AUD</t>
        </is>
      </c>
      <c r="E1724" t="inlineStr">
        <is>
          <t>ASX</t>
        </is>
      </c>
    </row>
    <row r="1725">
      <c r="B1725" t="inlineStr">
        <is>
          <t>SNG</t>
        </is>
      </c>
      <c r="C1725" t="inlineStr">
        <is>
          <t>Siren Gold Ltd</t>
        </is>
      </c>
      <c r="D1725" t="inlineStr">
        <is>
          <t>AUD</t>
        </is>
      </c>
      <c r="E1725" t="inlineStr">
        <is>
          <t>ASX</t>
        </is>
      </c>
    </row>
    <row r="1726">
      <c r="B1726" t="inlineStr">
        <is>
          <t>ABX</t>
        </is>
      </c>
      <c r="C1726" t="inlineStr">
        <is>
          <t>ABX Group Ltd</t>
        </is>
      </c>
      <c r="D1726" t="inlineStr">
        <is>
          <t>AUD</t>
        </is>
      </c>
      <c r="E1726" t="inlineStr">
        <is>
          <t>ASX</t>
        </is>
      </c>
    </row>
    <row r="1727">
      <c r="B1727" t="inlineStr">
        <is>
          <t>NME</t>
        </is>
      </c>
      <c r="C1727" t="inlineStr">
        <is>
          <t>NEX Metals Exploration Ltd</t>
        </is>
      </c>
      <c r="D1727" t="inlineStr">
        <is>
          <t>AUD</t>
        </is>
      </c>
      <c r="E1727" t="inlineStr">
        <is>
          <t>ASX</t>
        </is>
      </c>
    </row>
    <row r="1728">
      <c r="B1728" t="inlineStr">
        <is>
          <t>TKM</t>
        </is>
      </c>
      <c r="C1728" t="inlineStr">
        <is>
          <t>Trek Metals Ltd</t>
        </is>
      </c>
      <c r="D1728" t="inlineStr">
        <is>
          <t>AUD</t>
        </is>
      </c>
      <c r="E1728" t="inlineStr">
        <is>
          <t>ASX</t>
        </is>
      </c>
    </row>
    <row r="1729">
      <c r="B1729" t="inlineStr">
        <is>
          <t>VKA</t>
        </is>
      </c>
      <c r="C1729" t="inlineStr">
        <is>
          <t>Viking Mines Ltd</t>
        </is>
      </c>
      <c r="D1729" t="inlineStr">
        <is>
          <t>AUD</t>
        </is>
      </c>
      <c r="E1729" t="inlineStr">
        <is>
          <t>ASX</t>
        </is>
      </c>
    </row>
    <row r="1730">
      <c r="B1730" t="inlineStr">
        <is>
          <t>AKG</t>
        </is>
      </c>
      <c r="C1730" t="inlineStr">
        <is>
          <t>Academies Australasia Group Ltd</t>
        </is>
      </c>
      <c r="D1730" t="inlineStr">
        <is>
          <t>AUD</t>
        </is>
      </c>
      <c r="E1730" t="inlineStr">
        <is>
          <t>ASX</t>
        </is>
      </c>
    </row>
    <row r="1731">
      <c r="B1731" t="inlineStr">
        <is>
          <t>CMG</t>
        </is>
      </c>
      <c r="C1731" t="inlineStr">
        <is>
          <t>Critical Minerals Group Ltd</t>
        </is>
      </c>
      <c r="D1731" t="inlineStr">
        <is>
          <t>AUD</t>
        </is>
      </c>
      <c r="E1731" t="inlineStr">
        <is>
          <t>ASX</t>
        </is>
      </c>
    </row>
    <row r="1732">
      <c r="B1732" t="inlineStr">
        <is>
          <t>1AI</t>
        </is>
      </c>
      <c r="C1732" t="inlineStr">
        <is>
          <t>Algorae Pharmaceuticals Ltd</t>
        </is>
      </c>
      <c r="D1732" t="inlineStr">
        <is>
          <t>AUD</t>
        </is>
      </c>
      <c r="E1732" t="inlineStr">
        <is>
          <t>ASX</t>
        </is>
      </c>
    </row>
    <row r="1733">
      <c r="B1733" t="inlineStr">
        <is>
          <t>KOB</t>
        </is>
      </c>
      <c r="C1733" t="inlineStr">
        <is>
          <t>Koba Resources Ltd</t>
        </is>
      </c>
      <c r="D1733" t="inlineStr">
        <is>
          <t>AUD</t>
        </is>
      </c>
      <c r="E1733" t="inlineStr">
        <is>
          <t>ASX</t>
        </is>
      </c>
    </row>
    <row r="1734">
      <c r="B1734" t="inlineStr">
        <is>
          <t>OLH</t>
        </is>
      </c>
      <c r="C1734" t="inlineStr">
        <is>
          <t>Oldfields Holdings Ltd</t>
        </is>
      </c>
      <c r="D1734" t="inlineStr">
        <is>
          <t>AUD</t>
        </is>
      </c>
      <c r="E1734" t="inlineStr">
        <is>
          <t>ASX</t>
        </is>
      </c>
    </row>
    <row r="1735">
      <c r="B1735" t="inlineStr">
        <is>
          <t>AXP</t>
        </is>
      </c>
      <c r="C1735" t="inlineStr">
        <is>
          <t>AXP Energy Ltd</t>
        </is>
      </c>
      <c r="D1735" t="inlineStr">
        <is>
          <t>AUD</t>
        </is>
      </c>
      <c r="E1735" t="inlineStr">
        <is>
          <t>ASX</t>
        </is>
      </c>
    </row>
    <row r="1736">
      <c r="B1736" t="inlineStr">
        <is>
          <t>NET</t>
        </is>
      </c>
      <c r="C1736" t="inlineStr">
        <is>
          <t>Netlinkz Ltd</t>
        </is>
      </c>
      <c r="D1736" t="inlineStr">
        <is>
          <t>AUD</t>
        </is>
      </c>
      <c r="E1736" t="inlineStr">
        <is>
          <t>ASX</t>
        </is>
      </c>
    </row>
    <row r="1737">
      <c r="B1737" t="inlineStr">
        <is>
          <t>ATS</t>
        </is>
      </c>
      <c r="C1737" t="inlineStr">
        <is>
          <t>Australis Oil &amp; Gas Ltd</t>
        </is>
      </c>
      <c r="D1737" t="inlineStr">
        <is>
          <t>AUD</t>
        </is>
      </c>
      <c r="E1737" t="inlineStr">
        <is>
          <t>ASX</t>
        </is>
      </c>
    </row>
    <row r="1738">
      <c r="B1738" t="inlineStr">
        <is>
          <t>SHP</t>
        </is>
      </c>
      <c r="C1738" t="inlineStr">
        <is>
          <t>South HARZ Potash Ltd</t>
        </is>
      </c>
      <c r="D1738" t="inlineStr">
        <is>
          <t>AUD</t>
        </is>
      </c>
      <c r="E1738" t="inlineStr">
        <is>
          <t>ASX</t>
        </is>
      </c>
    </row>
    <row r="1739">
      <c r="B1739" t="inlineStr">
        <is>
          <t>GFLGA</t>
        </is>
      </c>
      <c r="C1739" t="inlineStr">
        <is>
          <t>Global Masters Fund Ltd</t>
        </is>
      </c>
      <c r="D1739" t="inlineStr">
        <is>
          <t>AUD</t>
        </is>
      </c>
      <c r="E1739" t="inlineStr">
        <is>
          <t>ASX</t>
        </is>
      </c>
    </row>
    <row r="1740">
      <c r="B1740" t="inlineStr">
        <is>
          <t>ROYL</t>
        </is>
      </c>
      <c r="C1740" t="inlineStr">
        <is>
          <t>Betashares Global Royalties ETF</t>
        </is>
      </c>
      <c r="D1740" t="inlineStr">
        <is>
          <t>AUD</t>
        </is>
      </c>
      <c r="E1740" t="inlineStr">
        <is>
          <t>ASX</t>
        </is>
      </c>
    </row>
    <row r="1741">
      <c r="B1741" t="inlineStr">
        <is>
          <t>ORD</t>
        </is>
      </c>
      <c r="C1741" t="inlineStr">
        <is>
          <t>Ordell Minerals Ltd</t>
        </is>
      </c>
      <c r="D1741" t="inlineStr">
        <is>
          <t>AUD</t>
        </is>
      </c>
      <c r="E1741" t="inlineStr">
        <is>
          <t>ASX</t>
        </is>
      </c>
    </row>
    <row r="1742">
      <c r="B1742" t="inlineStr">
        <is>
          <t>QYLD</t>
        </is>
      </c>
      <c r="C1742" t="inlineStr">
        <is>
          <t>Global X Nasdaq 100 Covered Call ETF</t>
        </is>
      </c>
      <c r="D1742" t="inlineStr">
        <is>
          <t>AUD</t>
        </is>
      </c>
      <c r="E1742" t="inlineStr">
        <is>
          <t>ASX</t>
        </is>
      </c>
    </row>
    <row r="1743">
      <c r="B1743" t="inlineStr">
        <is>
          <t>MXO</t>
        </is>
      </c>
      <c r="C1743" t="inlineStr">
        <is>
          <t>Motio Ltd</t>
        </is>
      </c>
      <c r="D1743" t="inlineStr">
        <is>
          <t>AUD</t>
        </is>
      </c>
      <c r="E1743" t="inlineStr">
        <is>
          <t>ASX</t>
        </is>
      </c>
    </row>
    <row r="1744">
      <c r="B1744" t="inlineStr">
        <is>
          <t>MNC</t>
        </is>
      </c>
      <c r="C1744" t="inlineStr">
        <is>
          <t>Merino &amp; Co. Ltd</t>
        </is>
      </c>
      <c r="D1744" t="inlineStr">
        <is>
          <t>AUD</t>
        </is>
      </c>
      <c r="E1744" t="inlineStr">
        <is>
          <t>ASX</t>
        </is>
      </c>
    </row>
    <row r="1745">
      <c r="B1745" t="inlineStr">
        <is>
          <t>ADR</t>
        </is>
      </c>
      <c r="C1745" t="inlineStr">
        <is>
          <t>Adherium Ltd</t>
        </is>
      </c>
      <c r="D1745" t="inlineStr">
        <is>
          <t>AUD</t>
        </is>
      </c>
      <c r="E1745" t="inlineStr">
        <is>
          <t>ASX</t>
        </is>
      </c>
    </row>
    <row r="1746">
      <c r="B1746" t="inlineStr">
        <is>
          <t>EOF</t>
        </is>
      </c>
      <c r="C1746" t="inlineStr">
        <is>
          <t>Ecofibre Ltd</t>
        </is>
      </c>
      <c r="D1746" t="inlineStr">
        <is>
          <t>AUD</t>
        </is>
      </c>
      <c r="E1746" t="inlineStr">
        <is>
          <t>ASX</t>
        </is>
      </c>
    </row>
    <row r="1747">
      <c r="B1747" t="inlineStr">
        <is>
          <t>MCO</t>
        </is>
      </c>
      <c r="C1747" t="inlineStr">
        <is>
          <t>Myeco Group Ltd</t>
        </is>
      </c>
      <c r="D1747" t="inlineStr">
        <is>
          <t>AUD</t>
        </is>
      </c>
      <c r="E1747" t="inlineStr">
        <is>
          <t>ASX</t>
        </is>
      </c>
    </row>
    <row r="1748">
      <c r="B1748" t="inlineStr">
        <is>
          <t>VMIN</t>
        </is>
      </c>
      <c r="C1748" t="inlineStr">
        <is>
          <t>Vanguard Global Minimum Volatility Active ETF</t>
        </is>
      </c>
      <c r="D1748" t="inlineStr">
        <is>
          <t>AUD</t>
        </is>
      </c>
      <c r="E1748" t="inlineStr">
        <is>
          <t>ASX</t>
        </is>
      </c>
    </row>
    <row r="1749">
      <c r="B1749" t="inlineStr">
        <is>
          <t>FTZ</t>
        </is>
      </c>
      <c r="C1749" t="inlineStr">
        <is>
          <t>Fertoz Ltd</t>
        </is>
      </c>
      <c r="D1749" t="inlineStr">
        <is>
          <t>AUD</t>
        </is>
      </c>
      <c r="E1749" t="inlineStr">
        <is>
          <t>ASX</t>
        </is>
      </c>
    </row>
    <row r="1750">
      <c r="B1750" t="inlineStr">
        <is>
          <t>RGT</t>
        </is>
      </c>
      <c r="C1750" t="inlineStr">
        <is>
          <t>Argent Biopharma Ltd</t>
        </is>
      </c>
      <c r="D1750" t="inlineStr">
        <is>
          <t>AUD</t>
        </is>
      </c>
      <c r="E1750" t="inlineStr">
        <is>
          <t>ASX</t>
        </is>
      </c>
    </row>
    <row r="1751">
      <c r="B1751" t="inlineStr">
        <is>
          <t>TM1</t>
        </is>
      </c>
      <c r="C1751" t="inlineStr">
        <is>
          <t>Terra Metals Ltd</t>
        </is>
      </c>
      <c r="D1751" t="inlineStr">
        <is>
          <t>AUD</t>
        </is>
      </c>
      <c r="E1751" t="inlineStr">
        <is>
          <t>ASX</t>
        </is>
      </c>
    </row>
    <row r="1752">
      <c r="B1752" t="inlineStr">
        <is>
          <t>EAX</t>
        </is>
      </c>
      <c r="C1752" t="inlineStr">
        <is>
          <t>Energy Action Ltd</t>
        </is>
      </c>
      <c r="D1752" t="inlineStr">
        <is>
          <t>AUD</t>
        </is>
      </c>
      <c r="E1752" t="inlineStr">
        <is>
          <t>ASX</t>
        </is>
      </c>
    </row>
    <row r="1753">
      <c r="B1753" t="inlineStr">
        <is>
          <t>ANR</t>
        </is>
      </c>
      <c r="C1753" t="inlineStr">
        <is>
          <t>Anatara Lifesciences Ltd</t>
        </is>
      </c>
      <c r="D1753" t="inlineStr">
        <is>
          <t>AUD</t>
        </is>
      </c>
      <c r="E1753" t="inlineStr">
        <is>
          <t>ASX</t>
        </is>
      </c>
    </row>
    <row r="1754">
      <c r="B1754" t="inlineStr">
        <is>
          <t>RCL</t>
        </is>
      </c>
      <c r="C1754" t="inlineStr">
        <is>
          <t>Readcloud Ltd</t>
        </is>
      </c>
      <c r="D1754" t="inlineStr">
        <is>
          <t>AUD</t>
        </is>
      </c>
      <c r="E1754" t="inlineStr">
        <is>
          <t>ASX</t>
        </is>
      </c>
    </row>
    <row r="1755">
      <c r="B1755" t="inlineStr">
        <is>
          <t>TSL</t>
        </is>
      </c>
      <c r="C1755" t="inlineStr">
        <is>
          <t>Titanium Sands Ltd</t>
        </is>
      </c>
      <c r="D1755" t="inlineStr">
        <is>
          <t>AUD</t>
        </is>
      </c>
      <c r="E1755" t="inlineStr">
        <is>
          <t>ASX</t>
        </is>
      </c>
    </row>
    <row r="1756">
      <c r="B1756" t="inlineStr">
        <is>
          <t>TMS</t>
        </is>
      </c>
      <c r="C1756" t="inlineStr">
        <is>
          <t>Tennant Minerals Ltd</t>
        </is>
      </c>
      <c r="D1756" t="inlineStr">
        <is>
          <t>AUD</t>
        </is>
      </c>
      <c r="E1756" t="inlineStr">
        <is>
          <t>ASX</t>
        </is>
      </c>
    </row>
    <row r="1757">
      <c r="B1757" t="inlineStr">
        <is>
          <t>TNY</t>
        </is>
      </c>
      <c r="C1757" t="inlineStr">
        <is>
          <t>Tinybeans Group Ltd</t>
        </is>
      </c>
      <c r="D1757" t="inlineStr">
        <is>
          <t>AUD</t>
        </is>
      </c>
      <c r="E1757" t="inlineStr">
        <is>
          <t>ASX</t>
        </is>
      </c>
    </row>
    <row r="1758">
      <c r="B1758" t="inlineStr">
        <is>
          <t>1AE</t>
        </is>
      </c>
      <c r="C1758" t="inlineStr">
        <is>
          <t>Aurora Energy Metals Ltd</t>
        </is>
      </c>
      <c r="D1758" t="inlineStr">
        <is>
          <t>AUD</t>
        </is>
      </c>
      <c r="E1758" t="inlineStr">
        <is>
          <t>ASX</t>
        </is>
      </c>
    </row>
    <row r="1759">
      <c r="B1759" t="inlineStr">
        <is>
          <t>NYM</t>
        </is>
      </c>
      <c r="C1759" t="inlineStr">
        <is>
          <t>Narryer Metals Ltd</t>
        </is>
      </c>
      <c r="D1759" t="inlineStr">
        <is>
          <t>AUD</t>
        </is>
      </c>
      <c r="E1759" t="inlineStr">
        <is>
          <t>ASX</t>
        </is>
      </c>
    </row>
    <row r="1760">
      <c r="B1760" t="inlineStr">
        <is>
          <t>MRQ</t>
        </is>
      </c>
      <c r="C1760" t="inlineStr">
        <is>
          <t>MRG Metals Ltd</t>
        </is>
      </c>
      <c r="D1760" t="inlineStr">
        <is>
          <t>AUD</t>
        </is>
      </c>
      <c r="E1760" t="inlineStr">
        <is>
          <t>ASX</t>
        </is>
      </c>
    </row>
    <row r="1761">
      <c r="B1761" t="inlineStr">
        <is>
          <t>SUM</t>
        </is>
      </c>
      <c r="C1761" t="inlineStr">
        <is>
          <t>Summit Minerals Ltd</t>
        </is>
      </c>
      <c r="D1761" t="inlineStr">
        <is>
          <t>AUD</t>
        </is>
      </c>
      <c r="E1761" t="inlineStr">
        <is>
          <t>ASX</t>
        </is>
      </c>
    </row>
    <row r="1762">
      <c r="B1762" t="inlineStr">
        <is>
          <t>UWC</t>
        </is>
      </c>
      <c r="C1762" t="inlineStr">
        <is>
          <t>Underwood Capital Ltd</t>
        </is>
      </c>
      <c r="D1762" t="inlineStr">
        <is>
          <t>AUD</t>
        </is>
      </c>
      <c r="E1762" t="inlineStr">
        <is>
          <t>ASX</t>
        </is>
      </c>
    </row>
    <row r="1763">
      <c r="B1763" t="inlineStr">
        <is>
          <t>ID8</t>
        </is>
      </c>
      <c r="C1763" t="inlineStr">
        <is>
          <t>Identitii Ltd</t>
        </is>
      </c>
      <c r="D1763" t="inlineStr">
        <is>
          <t>AUD</t>
        </is>
      </c>
      <c r="E1763" t="inlineStr">
        <is>
          <t>ASX</t>
        </is>
      </c>
    </row>
    <row r="1764">
      <c r="B1764" t="inlineStr">
        <is>
          <t>GARP</t>
        </is>
      </c>
      <c r="C1764" t="inlineStr">
        <is>
          <t>Global X S&amp;P World Ex Australia Garp ETF</t>
        </is>
      </c>
      <c r="D1764" t="inlineStr">
        <is>
          <t>AUD</t>
        </is>
      </c>
      <c r="E1764" t="inlineStr">
        <is>
          <t>ASX</t>
        </is>
      </c>
    </row>
    <row r="1765">
      <c r="B1765" t="inlineStr">
        <is>
          <t>PIL</t>
        </is>
      </c>
      <c r="C1765" t="inlineStr">
        <is>
          <t>Peppermint Innovation Ltd</t>
        </is>
      </c>
      <c r="D1765" t="inlineStr">
        <is>
          <t>AUD</t>
        </is>
      </c>
      <c r="E1765" t="inlineStr">
        <is>
          <t>ASX</t>
        </is>
      </c>
    </row>
    <row r="1766">
      <c r="B1766" t="inlineStr">
        <is>
          <t>FHS</t>
        </is>
      </c>
      <c r="C1766" t="inlineStr">
        <is>
          <t>Freehill Mining Ltd</t>
        </is>
      </c>
      <c r="D1766" t="inlineStr">
        <is>
          <t>AUD</t>
        </is>
      </c>
      <c r="E1766" t="inlineStr">
        <is>
          <t>ASX</t>
        </is>
      </c>
    </row>
    <row r="1767">
      <c r="B1767" t="inlineStr">
        <is>
          <t>LCL</t>
        </is>
      </c>
      <c r="C1767" t="inlineStr">
        <is>
          <t>LCL Resources Ltd</t>
        </is>
      </c>
      <c r="D1767" t="inlineStr">
        <is>
          <t>AUD</t>
        </is>
      </c>
      <c r="E1767" t="inlineStr">
        <is>
          <t>ASX</t>
        </is>
      </c>
    </row>
    <row r="1768">
      <c r="B1768" t="inlineStr">
        <is>
          <t>ALR</t>
        </is>
      </c>
      <c r="C1768" t="inlineStr">
        <is>
          <t>Altair Minerals Ltd</t>
        </is>
      </c>
      <c r="D1768" t="inlineStr">
        <is>
          <t>AUD</t>
        </is>
      </c>
      <c r="E1768" t="inlineStr">
        <is>
          <t>ASX</t>
        </is>
      </c>
    </row>
    <row r="1769">
      <c r="B1769" t="inlineStr">
        <is>
          <t>1AD</t>
        </is>
      </c>
      <c r="C1769" t="inlineStr">
        <is>
          <t>Adalta Ltd</t>
        </is>
      </c>
      <c r="D1769" t="inlineStr">
        <is>
          <t>AUD</t>
        </is>
      </c>
      <c r="E1769" t="inlineStr">
        <is>
          <t>ASX</t>
        </is>
      </c>
    </row>
    <row r="1770">
      <c r="B1770" t="inlineStr">
        <is>
          <t>NVO</t>
        </is>
      </c>
      <c r="C1770" t="inlineStr">
        <is>
          <t>Novo Resources Corp</t>
        </is>
      </c>
      <c r="D1770" t="inlineStr">
        <is>
          <t>AUD</t>
        </is>
      </c>
      <c r="E1770" t="inlineStr">
        <is>
          <t>ASX</t>
        </is>
      </c>
    </row>
    <row r="1771">
      <c r="B1771" t="inlineStr">
        <is>
          <t>GNDQ</t>
        </is>
      </c>
      <c r="C1771" t="inlineStr">
        <is>
          <t>Betashares Wealthbuilder Nasdaq Geared Complex ETF</t>
        </is>
      </c>
      <c r="D1771" t="inlineStr">
        <is>
          <t>AUD</t>
        </is>
      </c>
      <c r="E1771" t="inlineStr">
        <is>
          <t>ASX</t>
        </is>
      </c>
    </row>
    <row r="1772">
      <c r="B1772" t="inlineStr">
        <is>
          <t>LPM</t>
        </is>
      </c>
      <c r="C1772" t="inlineStr">
        <is>
          <t>Lithium Plus Minerals Ltd</t>
        </is>
      </c>
      <c r="D1772" t="inlineStr">
        <is>
          <t>AUD</t>
        </is>
      </c>
      <c r="E1772" t="inlineStr">
        <is>
          <t>ASX</t>
        </is>
      </c>
    </row>
    <row r="1773">
      <c r="B1773" t="inlineStr">
        <is>
          <t>MEM</t>
        </is>
      </c>
      <c r="C1773" t="inlineStr">
        <is>
          <t>Memphasys Ltd</t>
        </is>
      </c>
      <c r="D1773" t="inlineStr">
        <is>
          <t>AUD</t>
        </is>
      </c>
      <c r="E1773" t="inlineStr">
        <is>
          <t>ASX</t>
        </is>
      </c>
    </row>
    <row r="1774">
      <c r="B1774" t="inlineStr">
        <is>
          <t>RKT</t>
        </is>
      </c>
      <c r="C1774" t="inlineStr">
        <is>
          <t>Rocketdna Ltd</t>
        </is>
      </c>
      <c r="D1774" t="inlineStr">
        <is>
          <t>AUD</t>
        </is>
      </c>
      <c r="E1774" t="inlineStr">
        <is>
          <t>ASX</t>
        </is>
      </c>
    </row>
    <row r="1775">
      <c r="B1775" t="inlineStr">
        <is>
          <t>HOR</t>
        </is>
      </c>
      <c r="C1775" t="inlineStr">
        <is>
          <t>Horseshoe Metals Ltd</t>
        </is>
      </c>
      <c r="D1775" t="inlineStr">
        <is>
          <t>AUD</t>
        </is>
      </c>
      <c r="E1775" t="inlineStr">
        <is>
          <t>ASX</t>
        </is>
      </c>
    </row>
    <row r="1776">
      <c r="B1776" t="inlineStr">
        <is>
          <t>ECPGA</t>
        </is>
      </c>
      <c r="C1776" t="inlineStr">
        <is>
          <t>ECP Emerging Growth Ltd</t>
        </is>
      </c>
      <c r="D1776" t="inlineStr">
        <is>
          <t>AUD</t>
        </is>
      </c>
      <c r="E1776" t="inlineStr">
        <is>
          <t>ASX</t>
        </is>
      </c>
    </row>
    <row r="1777">
      <c r="B1777" t="inlineStr">
        <is>
          <t>N1H</t>
        </is>
      </c>
      <c r="C1777" t="inlineStr">
        <is>
          <t>N1 Holdings Ltd</t>
        </is>
      </c>
      <c r="D1777" t="inlineStr">
        <is>
          <t>AUD</t>
        </is>
      </c>
      <c r="E1777" t="inlineStr">
        <is>
          <t>ASX</t>
        </is>
      </c>
    </row>
    <row r="1778">
      <c r="B1778" t="inlineStr">
        <is>
          <t>BMH</t>
        </is>
      </c>
      <c r="C1778" t="inlineStr">
        <is>
          <t>Baumart Holdings Ltd</t>
        </is>
      </c>
      <c r="D1778" t="inlineStr">
        <is>
          <t>AUD</t>
        </is>
      </c>
      <c r="E1778" t="inlineStr">
        <is>
          <t>ASX</t>
        </is>
      </c>
    </row>
    <row r="1779">
      <c r="B1779" t="inlineStr">
        <is>
          <t>MM1</t>
        </is>
      </c>
      <c r="C1779" t="inlineStr">
        <is>
          <t>Midas Minerals Ltd</t>
        </is>
      </c>
      <c r="D1779" t="inlineStr">
        <is>
          <t>AUD</t>
        </is>
      </c>
      <c r="E1779" t="inlineStr">
        <is>
          <t>ASX</t>
        </is>
      </c>
    </row>
    <row r="1780">
      <c r="B1780" t="inlineStr">
        <is>
          <t>MGU</t>
        </is>
      </c>
      <c r="C1780" t="inlineStr">
        <is>
          <t>Magnum Mining and Exploration Ltd</t>
        </is>
      </c>
      <c r="D1780" t="inlineStr">
        <is>
          <t>AUD</t>
        </is>
      </c>
      <c r="E1780" t="inlineStr">
        <is>
          <t>ASX</t>
        </is>
      </c>
    </row>
    <row r="1781">
      <c r="B1781" t="inlineStr">
        <is>
          <t>RGOS</t>
        </is>
      </c>
      <c r="C1781" t="inlineStr">
        <is>
          <t>Russell Sust Global Opportunities Complex ETF</t>
        </is>
      </c>
      <c r="D1781" t="inlineStr">
        <is>
          <t>AUD</t>
        </is>
      </c>
      <c r="E1781" t="inlineStr">
        <is>
          <t>ASX</t>
        </is>
      </c>
    </row>
    <row r="1782">
      <c r="B1782" t="inlineStr">
        <is>
          <t>TEG</t>
        </is>
      </c>
      <c r="C1782" t="inlineStr">
        <is>
          <t>Triangle Energy (Global) Ltd</t>
        </is>
      </c>
      <c r="D1782" t="inlineStr">
        <is>
          <t>AUD</t>
        </is>
      </c>
      <c r="E1782" t="inlineStr">
        <is>
          <t>ASX</t>
        </is>
      </c>
    </row>
    <row r="1783">
      <c r="B1783" t="inlineStr">
        <is>
          <t>GIVE</t>
        </is>
      </c>
      <c r="C1783" t="inlineStr">
        <is>
          <t>Perpetual Esg Australian Share Fund (Managed Fund)</t>
        </is>
      </c>
      <c r="D1783" t="inlineStr">
        <is>
          <t>AUD</t>
        </is>
      </c>
      <c r="E1783" t="inlineStr">
        <is>
          <t>ASX</t>
        </is>
      </c>
    </row>
    <row r="1784">
      <c r="B1784" t="inlineStr">
        <is>
          <t>HGL</t>
        </is>
      </c>
      <c r="C1784" t="inlineStr">
        <is>
          <t>Hudson Investment Group Ltd</t>
        </is>
      </c>
      <c r="D1784" t="inlineStr">
        <is>
          <t>AUD</t>
        </is>
      </c>
      <c r="E1784" t="inlineStr">
        <is>
          <t>ASX</t>
        </is>
      </c>
    </row>
    <row r="1785">
      <c r="B1785" t="inlineStr">
        <is>
          <t>GTR</t>
        </is>
      </c>
      <c r="C1785" t="inlineStr">
        <is>
          <t>Gti Energy Ltd</t>
        </is>
      </c>
      <c r="D1785" t="inlineStr">
        <is>
          <t>AUD</t>
        </is>
      </c>
      <c r="E1785" t="inlineStr">
        <is>
          <t>ASX</t>
        </is>
      </c>
    </row>
    <row r="1786">
      <c r="B1786" t="inlineStr">
        <is>
          <t>SP8</t>
        </is>
      </c>
      <c r="C1786" t="inlineStr">
        <is>
          <t>Streamplay Studio Ltd</t>
        </is>
      </c>
      <c r="D1786" t="inlineStr">
        <is>
          <t>AUD</t>
        </is>
      </c>
      <c r="E1786" t="inlineStr">
        <is>
          <t>ASX</t>
        </is>
      </c>
    </row>
    <row r="1787">
      <c r="B1787" t="inlineStr">
        <is>
          <t>SGA</t>
        </is>
      </c>
      <c r="C1787" t="inlineStr">
        <is>
          <t>Sarytogan Graphite Ltd</t>
        </is>
      </c>
      <c r="D1787" t="inlineStr">
        <is>
          <t>AUD</t>
        </is>
      </c>
      <c r="E1787" t="inlineStr">
        <is>
          <t>ASX</t>
        </is>
      </c>
    </row>
    <row r="1788">
      <c r="B1788" t="inlineStr">
        <is>
          <t>LML</t>
        </is>
      </c>
      <c r="C1788" t="inlineStr">
        <is>
          <t>Lincoln Minerals Ltd</t>
        </is>
      </c>
      <c r="D1788" t="inlineStr">
        <is>
          <t>AUD</t>
        </is>
      </c>
      <c r="E1788" t="inlineStr">
        <is>
          <t>ASX</t>
        </is>
      </c>
    </row>
    <row r="1789">
      <c r="B1789" t="inlineStr">
        <is>
          <t>BNR</t>
        </is>
      </c>
      <c r="C1789" t="inlineStr">
        <is>
          <t>Bulletin Resources Ltd</t>
        </is>
      </c>
      <c r="D1789" t="inlineStr">
        <is>
          <t>AUD</t>
        </is>
      </c>
      <c r="E1789" t="inlineStr">
        <is>
          <t>ASX</t>
        </is>
      </c>
    </row>
    <row r="1790">
      <c r="B1790" t="inlineStr">
        <is>
          <t>PNN</t>
        </is>
      </c>
      <c r="C1790" t="inlineStr">
        <is>
          <t>Power Minerals Ltd</t>
        </is>
      </c>
      <c r="D1790" t="inlineStr">
        <is>
          <t>AUD</t>
        </is>
      </c>
      <c r="E1790" t="inlineStr">
        <is>
          <t>ASX</t>
        </is>
      </c>
    </row>
    <row r="1791">
      <c r="B1791" t="inlineStr">
        <is>
          <t>AON</t>
        </is>
      </c>
      <c r="C1791" t="inlineStr">
        <is>
          <t>Apollo Minerals Ltd</t>
        </is>
      </c>
      <c r="D1791" t="inlineStr">
        <is>
          <t>AUD</t>
        </is>
      </c>
      <c r="E1791" t="inlineStr">
        <is>
          <t>ASX</t>
        </is>
      </c>
    </row>
    <row r="1792">
      <c r="B1792" t="inlineStr">
        <is>
          <t>PGD</t>
        </is>
      </c>
      <c r="C1792" t="inlineStr">
        <is>
          <t>Peregrine Gold Ltd</t>
        </is>
      </c>
      <c r="D1792" t="inlineStr">
        <is>
          <t>AUD</t>
        </is>
      </c>
      <c r="E1792" t="inlineStr">
        <is>
          <t>ASX</t>
        </is>
      </c>
    </row>
    <row r="1793">
      <c r="B1793" t="inlineStr">
        <is>
          <t>WGR</t>
        </is>
      </c>
      <c r="C1793" t="inlineStr">
        <is>
          <t>Western Gold Resources Ltd</t>
        </is>
      </c>
      <c r="D1793" t="inlineStr">
        <is>
          <t>AUD</t>
        </is>
      </c>
      <c r="E1793" t="inlineStr">
        <is>
          <t>ASX</t>
        </is>
      </c>
    </row>
    <row r="1794">
      <c r="B1794" t="inlineStr">
        <is>
          <t>PAVE</t>
        </is>
      </c>
      <c r="C1794" t="inlineStr">
        <is>
          <t>Global X US Infrastructure Development ETF</t>
        </is>
      </c>
      <c r="D1794" t="inlineStr">
        <is>
          <t>AUD</t>
        </is>
      </c>
      <c r="E1794" t="inlineStr">
        <is>
          <t>ASX</t>
        </is>
      </c>
    </row>
    <row r="1795">
      <c r="B1795" t="inlineStr">
        <is>
          <t>BM8</t>
        </is>
      </c>
      <c r="C1795" t="inlineStr">
        <is>
          <t>Battery Age Minerals Ltd</t>
        </is>
      </c>
      <c r="D1795" t="inlineStr">
        <is>
          <t>AUD</t>
        </is>
      </c>
      <c r="E1795" t="inlineStr">
        <is>
          <t>ASX</t>
        </is>
      </c>
    </row>
    <row r="1796">
      <c r="B1796" t="inlineStr">
        <is>
          <t>PNM</t>
        </is>
      </c>
      <c r="C1796" t="inlineStr">
        <is>
          <t>Pacific Nickel Mines Ltd</t>
        </is>
      </c>
      <c r="D1796" t="inlineStr">
        <is>
          <t>AUD</t>
        </is>
      </c>
      <c r="E1796" t="inlineStr">
        <is>
          <t>ASX</t>
        </is>
      </c>
    </row>
    <row r="1797">
      <c r="B1797" t="inlineStr">
        <is>
          <t>VFX</t>
        </is>
      </c>
      <c r="C1797" t="inlineStr">
        <is>
          <t>Visionflex Group Ltd</t>
        </is>
      </c>
      <c r="D1797" t="inlineStr">
        <is>
          <t>AUD</t>
        </is>
      </c>
      <c r="E1797" t="inlineStr">
        <is>
          <t>ASX</t>
        </is>
      </c>
    </row>
    <row r="1798">
      <c r="B1798" t="inlineStr">
        <is>
          <t>H100</t>
        </is>
      </c>
      <c r="C1798" t="inlineStr">
        <is>
          <t>Betashares Ftse 100 Currency Hedged ETF</t>
        </is>
      </c>
      <c r="D1798" t="inlineStr">
        <is>
          <t>AUD</t>
        </is>
      </c>
      <c r="E1798" t="inlineStr">
        <is>
          <t>ASX</t>
        </is>
      </c>
    </row>
    <row r="1799">
      <c r="B1799" t="inlineStr">
        <is>
          <t>HLX</t>
        </is>
      </c>
      <c r="C1799" t="inlineStr">
        <is>
          <t>HELIX Resources Ltd</t>
        </is>
      </c>
      <c r="D1799" t="inlineStr">
        <is>
          <t>AUD</t>
        </is>
      </c>
      <c r="E1799" t="inlineStr">
        <is>
          <t>ASX</t>
        </is>
      </c>
    </row>
    <row r="1800">
      <c r="B1800" t="inlineStr">
        <is>
          <t>QNDQ</t>
        </is>
      </c>
      <c r="C1800" t="inlineStr">
        <is>
          <t>Betashares Nasdaq 100 EQUAL Weight ETF</t>
        </is>
      </c>
      <c r="D1800" t="inlineStr">
        <is>
          <t>AUD</t>
        </is>
      </c>
      <c r="E1800" t="inlineStr">
        <is>
          <t>ASX</t>
        </is>
      </c>
    </row>
    <row r="1801">
      <c r="B1801" t="inlineStr">
        <is>
          <t>PGO</t>
        </is>
      </c>
      <c r="C1801" t="inlineStr">
        <is>
          <t>Pacgold Ltd</t>
        </is>
      </c>
      <c r="D1801" t="inlineStr">
        <is>
          <t>AUD</t>
        </is>
      </c>
      <c r="E1801" t="inlineStr">
        <is>
          <t>ASX</t>
        </is>
      </c>
    </row>
    <row r="1802">
      <c r="B1802" t="inlineStr">
        <is>
          <t>ORP</t>
        </is>
      </c>
      <c r="C1802" t="inlineStr">
        <is>
          <t>Orpheus Uranium Ltd</t>
        </is>
      </c>
      <c r="D1802" t="inlineStr">
        <is>
          <t>AUD</t>
        </is>
      </c>
      <c r="E1802" t="inlineStr">
        <is>
          <t>ASX</t>
        </is>
      </c>
    </row>
    <row r="1803">
      <c r="B1803" t="inlineStr">
        <is>
          <t>HMG</t>
        </is>
      </c>
      <c r="C1803" t="inlineStr">
        <is>
          <t>Hamelin Gold Ltd</t>
        </is>
      </c>
      <c r="D1803" t="inlineStr">
        <is>
          <t>AUD</t>
        </is>
      </c>
      <c r="E1803" t="inlineStr">
        <is>
          <t>ASX</t>
        </is>
      </c>
    </row>
    <row r="1804">
      <c r="B1804" t="inlineStr">
        <is>
          <t>FDR</t>
        </is>
      </c>
      <c r="C1804" t="inlineStr">
        <is>
          <t>Finder Energy Holdings Ltd</t>
        </is>
      </c>
      <c r="D1804" t="inlineStr">
        <is>
          <t>AUD</t>
        </is>
      </c>
      <c r="E1804" t="inlineStr">
        <is>
          <t>ASX</t>
        </is>
      </c>
    </row>
    <row r="1805">
      <c r="B1805" t="inlineStr">
        <is>
          <t>NH3</t>
        </is>
      </c>
      <c r="C1805" t="inlineStr">
        <is>
          <t>NH3 Clean Energy Ltd</t>
        </is>
      </c>
      <c r="D1805" t="inlineStr">
        <is>
          <t>AUD</t>
        </is>
      </c>
      <c r="E1805" t="inlineStr">
        <is>
          <t>ASX</t>
        </is>
      </c>
    </row>
    <row r="1806">
      <c r="B1806" t="inlineStr">
        <is>
          <t>NNL</t>
        </is>
      </c>
      <c r="C1806" t="inlineStr">
        <is>
          <t>Nordic Resources Ltd</t>
        </is>
      </c>
      <c r="D1806" t="inlineStr">
        <is>
          <t>AUD</t>
        </is>
      </c>
      <c r="E1806" t="inlineStr">
        <is>
          <t>ASX</t>
        </is>
      </c>
    </row>
    <row r="1807">
      <c r="B1807" t="inlineStr">
        <is>
          <t>TAT</t>
        </is>
      </c>
      <c r="C1807" t="inlineStr">
        <is>
          <t>Tartana Minerals Ltd</t>
        </is>
      </c>
      <c r="D1807" t="inlineStr">
        <is>
          <t>AUD</t>
        </is>
      </c>
      <c r="E1807" t="inlineStr">
        <is>
          <t>ASX</t>
        </is>
      </c>
    </row>
    <row r="1808">
      <c r="B1808" t="inlineStr">
        <is>
          <t>NC1</t>
        </is>
      </c>
      <c r="C1808" t="inlineStr">
        <is>
          <t>Nico Resources Ltd</t>
        </is>
      </c>
      <c r="D1808" t="inlineStr">
        <is>
          <t>AUD</t>
        </is>
      </c>
      <c r="E1808" t="inlineStr">
        <is>
          <t>ASX</t>
        </is>
      </c>
    </row>
    <row r="1809">
      <c r="B1809" t="inlineStr">
        <is>
          <t>SVY</t>
        </is>
      </c>
      <c r="C1809" t="inlineStr">
        <is>
          <t>Stavely Minerals Ltd</t>
        </is>
      </c>
      <c r="D1809" t="inlineStr">
        <is>
          <t>AUD</t>
        </is>
      </c>
      <c r="E1809" t="inlineStr">
        <is>
          <t>ASX</t>
        </is>
      </c>
    </row>
    <row r="1810">
      <c r="B1810" t="inlineStr">
        <is>
          <t>PER</t>
        </is>
      </c>
      <c r="C1810" t="inlineStr">
        <is>
          <t>Percheron Therapeutics Ltd</t>
        </is>
      </c>
      <c r="D1810" t="inlineStr">
        <is>
          <t>AUD</t>
        </is>
      </c>
      <c r="E1810" t="inlineStr">
        <is>
          <t>ASX</t>
        </is>
      </c>
    </row>
    <row r="1811">
      <c r="B1811" t="inlineStr">
        <is>
          <t>MIO</t>
        </is>
      </c>
      <c r="C1811" t="inlineStr">
        <is>
          <t>Macarthur Minerals Ltd</t>
        </is>
      </c>
      <c r="D1811" t="inlineStr">
        <is>
          <t>AUD</t>
        </is>
      </c>
      <c r="E1811" t="inlineStr">
        <is>
          <t>ASX</t>
        </is>
      </c>
    </row>
    <row r="1812">
      <c r="B1812" t="inlineStr">
        <is>
          <t>BUGG</t>
        </is>
      </c>
      <c r="C1812" t="inlineStr">
        <is>
          <t>Global X Cybersecurity ETF</t>
        </is>
      </c>
      <c r="D1812" t="inlineStr">
        <is>
          <t>AUD</t>
        </is>
      </c>
      <c r="E1812" t="inlineStr">
        <is>
          <t>ASX</t>
        </is>
      </c>
    </row>
    <row r="1813">
      <c r="B1813" t="inlineStr">
        <is>
          <t>ILT</t>
        </is>
      </c>
      <c r="C1813" t="inlineStr">
        <is>
          <t>Iltani Resources Ltd</t>
        </is>
      </c>
      <c r="D1813" t="inlineStr">
        <is>
          <t>AUD</t>
        </is>
      </c>
      <c r="E1813" t="inlineStr">
        <is>
          <t>ASX</t>
        </is>
      </c>
    </row>
    <row r="1814">
      <c r="B1814" t="inlineStr">
        <is>
          <t>RAU</t>
        </is>
      </c>
      <c r="C1814" t="inlineStr">
        <is>
          <t>Resouro Strategic Metals Inc</t>
        </is>
      </c>
      <c r="D1814" t="inlineStr">
        <is>
          <t>AUD</t>
        </is>
      </c>
      <c r="E1814" t="inlineStr">
        <is>
          <t>ASX</t>
        </is>
      </c>
    </row>
    <row r="1815">
      <c r="B1815" t="inlineStr">
        <is>
          <t>KBC</t>
        </is>
      </c>
      <c r="C1815" t="inlineStr">
        <is>
          <t>Keybridge Capital Ltd</t>
        </is>
      </c>
      <c r="D1815" t="inlineStr">
        <is>
          <t>AUD</t>
        </is>
      </c>
      <c r="E1815" t="inlineStr">
        <is>
          <t>ASX</t>
        </is>
      </c>
    </row>
    <row r="1816">
      <c r="B1816" t="inlineStr">
        <is>
          <t>CI1</t>
        </is>
      </c>
      <c r="C1816" t="inlineStr">
        <is>
          <t>Credit Intelligence Ltd</t>
        </is>
      </c>
      <c r="D1816" t="inlineStr">
        <is>
          <t>AUD</t>
        </is>
      </c>
      <c r="E1816" t="inlineStr">
        <is>
          <t>ASX</t>
        </is>
      </c>
    </row>
    <row r="1817">
      <c r="B1817" t="inlineStr">
        <is>
          <t>ODE</t>
        </is>
      </c>
      <c r="C1817" t="inlineStr">
        <is>
          <t>Odessa Minerals Ltd</t>
        </is>
      </c>
      <c r="D1817" t="inlineStr">
        <is>
          <t>AUD</t>
        </is>
      </c>
      <c r="E1817" t="inlineStr">
        <is>
          <t>ASX</t>
        </is>
      </c>
    </row>
    <row r="1818">
      <c r="B1818" t="inlineStr">
        <is>
          <t>LLI</t>
        </is>
      </c>
      <c r="C1818" t="inlineStr">
        <is>
          <t>Loyal Lithium Ltd</t>
        </is>
      </c>
      <c r="D1818" t="inlineStr">
        <is>
          <t>AUD</t>
        </is>
      </c>
      <c r="E1818" t="inlineStr">
        <is>
          <t>ASX</t>
        </is>
      </c>
    </row>
    <row r="1819">
      <c r="B1819" t="inlineStr">
        <is>
          <t>AVE</t>
        </is>
      </c>
      <c r="C1819" t="inlineStr">
        <is>
          <t>Avecho Biotechnology Ltd</t>
        </is>
      </c>
      <c r="D1819" t="inlineStr">
        <is>
          <t>AUD</t>
        </is>
      </c>
      <c r="E1819" t="inlineStr">
        <is>
          <t>ASX</t>
        </is>
      </c>
    </row>
    <row r="1820">
      <c r="B1820" t="inlineStr">
        <is>
          <t>BCM</t>
        </is>
      </c>
      <c r="C1820" t="inlineStr">
        <is>
          <t>Brazilian Critical Minerals Ltd</t>
        </is>
      </c>
      <c r="D1820" t="inlineStr">
        <is>
          <t>AUD</t>
        </is>
      </c>
      <c r="E1820" t="inlineStr">
        <is>
          <t>ASX</t>
        </is>
      </c>
    </row>
    <row r="1821">
      <c r="B1821" t="inlineStr">
        <is>
          <t>CHM</t>
        </is>
      </c>
      <c r="C1821" t="inlineStr">
        <is>
          <t>Chimeric Therapeutics Ltd</t>
        </is>
      </c>
      <c r="D1821" t="inlineStr">
        <is>
          <t>AUD</t>
        </is>
      </c>
      <c r="E1821" t="inlineStr">
        <is>
          <t>ASX</t>
        </is>
      </c>
    </row>
    <row r="1822">
      <c r="B1822" t="inlineStr">
        <is>
          <t>ITM</t>
        </is>
      </c>
      <c r="C1822" t="inlineStr">
        <is>
          <t>Itech Minerals Ltd</t>
        </is>
      </c>
      <c r="D1822" t="inlineStr">
        <is>
          <t>AUD</t>
        </is>
      </c>
      <c r="E1822" t="inlineStr">
        <is>
          <t>ASX</t>
        </is>
      </c>
    </row>
    <row r="1823">
      <c r="B1823" t="inlineStr">
        <is>
          <t>DGR</t>
        </is>
      </c>
      <c r="C1823" t="inlineStr">
        <is>
          <t>DGR Global Ltd</t>
        </is>
      </c>
      <c r="D1823" t="inlineStr">
        <is>
          <t>AUD</t>
        </is>
      </c>
      <c r="E1823" t="inlineStr">
        <is>
          <t>ASX</t>
        </is>
      </c>
    </row>
    <row r="1824">
      <c r="B1824" t="inlineStr">
        <is>
          <t>GBZ</t>
        </is>
      </c>
      <c r="C1824" t="inlineStr">
        <is>
          <t>GBM Resources Ltd</t>
        </is>
      </c>
      <c r="D1824" t="inlineStr">
        <is>
          <t>AUD</t>
        </is>
      </c>
      <c r="E1824" t="inlineStr">
        <is>
          <t>ASX</t>
        </is>
      </c>
    </row>
    <row r="1825">
      <c r="B1825" t="inlineStr">
        <is>
          <t>SPA</t>
        </is>
      </c>
      <c r="C1825" t="inlineStr">
        <is>
          <t>Spacetalk Ltd</t>
        </is>
      </c>
      <c r="D1825" t="inlineStr">
        <is>
          <t>AUD</t>
        </is>
      </c>
      <c r="E1825" t="inlineStr">
        <is>
          <t>ASX</t>
        </is>
      </c>
    </row>
    <row r="1826">
      <c r="B1826" t="inlineStr">
        <is>
          <t>RAG</t>
        </is>
      </c>
      <c r="C1826" t="inlineStr">
        <is>
          <t>Ragnar Metals Ltd</t>
        </is>
      </c>
      <c r="D1826" t="inlineStr">
        <is>
          <t>AUD</t>
        </is>
      </c>
      <c r="E1826" t="inlineStr">
        <is>
          <t>ASX</t>
        </is>
      </c>
    </row>
    <row r="1827">
      <c r="B1827" t="inlineStr">
        <is>
          <t>AU1</t>
        </is>
      </c>
      <c r="C1827" t="inlineStr">
        <is>
          <t>The Agency Group Australia Ltd</t>
        </is>
      </c>
      <c r="D1827" t="inlineStr">
        <is>
          <t>AUD</t>
        </is>
      </c>
      <c r="E1827" t="inlineStr">
        <is>
          <t>ASX</t>
        </is>
      </c>
    </row>
    <row r="1828">
      <c r="B1828" t="inlineStr">
        <is>
          <t>BMG</t>
        </is>
      </c>
      <c r="C1828" t="inlineStr">
        <is>
          <t>BMG Resources Ltd</t>
        </is>
      </c>
      <c r="D1828" t="inlineStr">
        <is>
          <t>AUD</t>
        </is>
      </c>
      <c r="E1828" t="inlineStr">
        <is>
          <t>ASX</t>
        </is>
      </c>
    </row>
    <row r="1829">
      <c r="B1829" t="inlineStr">
        <is>
          <t>KM1</t>
        </is>
      </c>
      <c r="C1829" t="inlineStr">
        <is>
          <t>Kali Metals Ltd</t>
        </is>
      </c>
      <c r="D1829" t="inlineStr">
        <is>
          <t>AUD</t>
        </is>
      </c>
      <c r="E1829" t="inlineStr">
        <is>
          <t>ASX</t>
        </is>
      </c>
    </row>
    <row r="1830">
      <c r="B1830" t="inlineStr">
        <is>
          <t>COY</t>
        </is>
      </c>
      <c r="C1830" t="inlineStr">
        <is>
          <t>Coppermoly Ltd</t>
        </is>
      </c>
      <c r="D1830" t="inlineStr">
        <is>
          <t>AUD</t>
        </is>
      </c>
      <c r="E1830" t="inlineStr">
        <is>
          <t>ASX</t>
        </is>
      </c>
    </row>
    <row r="1831">
      <c r="B1831" t="inlineStr">
        <is>
          <t>AQX</t>
        </is>
      </c>
      <c r="C1831" t="inlineStr">
        <is>
          <t>Alice QUEEN Ltd</t>
        </is>
      </c>
      <c r="D1831" t="inlineStr">
        <is>
          <t>AUD</t>
        </is>
      </c>
      <c r="E1831" t="inlineStr">
        <is>
          <t>ASX</t>
        </is>
      </c>
    </row>
    <row r="1832">
      <c r="B1832" t="inlineStr">
        <is>
          <t>OLL</t>
        </is>
      </c>
      <c r="C1832" t="inlineStr">
        <is>
          <t>Openlearning Ltd</t>
        </is>
      </c>
      <c r="D1832" t="inlineStr">
        <is>
          <t>AUD</t>
        </is>
      </c>
      <c r="E1832" t="inlineStr">
        <is>
          <t>ASX</t>
        </is>
      </c>
    </row>
    <row r="1833">
      <c r="B1833" t="inlineStr">
        <is>
          <t>MMR</t>
        </is>
      </c>
      <c r="C1833" t="inlineStr">
        <is>
          <t>Mec Resources Ltd</t>
        </is>
      </c>
      <c r="D1833" t="inlineStr">
        <is>
          <t>AUD</t>
        </is>
      </c>
      <c r="E1833" t="inlineStr">
        <is>
          <t>ASX</t>
        </is>
      </c>
    </row>
    <row r="1834">
      <c r="B1834" t="inlineStr">
        <is>
          <t>GMN</t>
        </is>
      </c>
      <c r="C1834" t="inlineStr">
        <is>
          <t>Gold Mountain Ltd</t>
        </is>
      </c>
      <c r="D1834" t="inlineStr">
        <is>
          <t>AUD</t>
        </is>
      </c>
      <c r="E1834" t="inlineStr">
        <is>
          <t>ASX</t>
        </is>
      </c>
    </row>
    <row r="1835">
      <c r="B1835" t="inlineStr">
        <is>
          <t>NSX</t>
        </is>
      </c>
      <c r="C1835" t="inlineStr">
        <is>
          <t>NSX Ltd</t>
        </is>
      </c>
      <c r="D1835" t="inlineStr">
        <is>
          <t>AUD</t>
        </is>
      </c>
      <c r="E1835" t="inlineStr">
        <is>
          <t>ASX</t>
        </is>
      </c>
    </row>
    <row r="1836">
      <c r="B1836" t="inlineStr">
        <is>
          <t>GW1</t>
        </is>
      </c>
      <c r="C1836" t="inlineStr">
        <is>
          <t>Greenwing Resources Ltd</t>
        </is>
      </c>
      <c r="D1836" t="inlineStr">
        <is>
          <t>AUD</t>
        </is>
      </c>
      <c r="E1836" t="inlineStr">
        <is>
          <t>ASX</t>
        </is>
      </c>
    </row>
    <row r="1837">
      <c r="B1837" t="inlineStr">
        <is>
          <t>KLI</t>
        </is>
      </c>
      <c r="C1837" t="inlineStr">
        <is>
          <t>Killi Resources Ltd</t>
        </is>
      </c>
      <c r="D1837" t="inlineStr">
        <is>
          <t>AUD</t>
        </is>
      </c>
      <c r="E1837" t="inlineStr">
        <is>
          <t>ASX</t>
        </is>
      </c>
    </row>
    <row r="1838">
      <c r="B1838" t="inlineStr">
        <is>
          <t>CAG</t>
        </is>
      </c>
      <c r="C1838" t="inlineStr">
        <is>
          <t>Cape Range Ltd</t>
        </is>
      </c>
      <c r="D1838" t="inlineStr">
        <is>
          <t>AUD</t>
        </is>
      </c>
      <c r="E1838" t="inlineStr">
        <is>
          <t>ASX</t>
        </is>
      </c>
    </row>
    <row r="1839">
      <c r="B1839" t="inlineStr">
        <is>
          <t>KNG</t>
        </is>
      </c>
      <c r="C1839" t="inlineStr">
        <is>
          <t>Kingsland Minerals Ltd</t>
        </is>
      </c>
      <c r="D1839" t="inlineStr">
        <is>
          <t>AUD</t>
        </is>
      </c>
      <c r="E1839" t="inlineStr">
        <is>
          <t>ASX</t>
        </is>
      </c>
    </row>
    <row r="1840">
      <c r="B1840" t="inlineStr">
        <is>
          <t>ADV</t>
        </is>
      </c>
      <c r="C1840" t="inlineStr">
        <is>
          <t>Ardiden Ltd</t>
        </is>
      </c>
      <c r="D1840" t="inlineStr">
        <is>
          <t>AUD</t>
        </is>
      </c>
      <c r="E1840" t="inlineStr">
        <is>
          <t>ASX</t>
        </is>
      </c>
    </row>
    <row r="1841">
      <c r="B1841" t="inlineStr">
        <is>
          <t>BDT</t>
        </is>
      </c>
      <c r="C1841" t="inlineStr">
        <is>
          <t>Birddog Technology Ltd</t>
        </is>
      </c>
      <c r="D1841" t="inlineStr">
        <is>
          <t>AUD</t>
        </is>
      </c>
      <c r="E1841" t="inlineStr">
        <is>
          <t>ASX</t>
        </is>
      </c>
    </row>
    <row r="1842">
      <c r="B1842" t="inlineStr">
        <is>
          <t>RRR</t>
        </is>
      </c>
      <c r="C1842" t="inlineStr">
        <is>
          <t>Revolver Resources Holdings Ltd</t>
        </is>
      </c>
      <c r="D1842" t="inlineStr">
        <is>
          <t>AUD</t>
        </is>
      </c>
      <c r="E1842" t="inlineStr">
        <is>
          <t>ASX</t>
        </is>
      </c>
    </row>
    <row r="1843">
      <c r="B1843" t="inlineStr">
        <is>
          <t>CTO</t>
        </is>
      </c>
      <c r="C1843" t="inlineStr">
        <is>
          <t>Citigold Corporation Ltd</t>
        </is>
      </c>
      <c r="D1843" t="inlineStr">
        <is>
          <t>AUD</t>
        </is>
      </c>
      <c r="E1843" t="inlineStr">
        <is>
          <t>ASX</t>
        </is>
      </c>
    </row>
    <row r="1844">
      <c r="B1844" t="inlineStr">
        <is>
          <t>GDM</t>
        </is>
      </c>
      <c r="C1844" t="inlineStr">
        <is>
          <t>Great Divide Mining Ltd</t>
        </is>
      </c>
      <c r="D1844" t="inlineStr">
        <is>
          <t>AUD</t>
        </is>
      </c>
      <c r="E1844" t="inlineStr">
        <is>
          <t>ASX</t>
        </is>
      </c>
    </row>
    <row r="1845">
      <c r="B1845" t="inlineStr">
        <is>
          <t>GML</t>
        </is>
      </c>
      <c r="C1845" t="inlineStr">
        <is>
          <t>Gateway Mining Ltd</t>
        </is>
      </c>
      <c r="D1845" t="inlineStr">
        <is>
          <t>AUD</t>
        </is>
      </c>
      <c r="E1845" t="inlineStr">
        <is>
          <t>ASX</t>
        </is>
      </c>
    </row>
    <row r="1846">
      <c r="B1846" t="inlineStr">
        <is>
          <t>L1M</t>
        </is>
      </c>
      <c r="C1846" t="inlineStr">
        <is>
          <t>Lightning Minerals Ltd</t>
        </is>
      </c>
      <c r="D1846" t="inlineStr">
        <is>
          <t>AUD</t>
        </is>
      </c>
      <c r="E1846" t="inlineStr">
        <is>
          <t>ASX</t>
        </is>
      </c>
    </row>
    <row r="1847">
      <c r="B1847" t="inlineStr">
        <is>
          <t>ATV</t>
        </is>
      </c>
      <c r="C1847" t="inlineStr">
        <is>
          <t>Activeport Group Ltd</t>
        </is>
      </c>
      <c r="D1847" t="inlineStr">
        <is>
          <t>AUD</t>
        </is>
      </c>
      <c r="E1847" t="inlineStr">
        <is>
          <t>ASX</t>
        </is>
      </c>
    </row>
    <row r="1848">
      <c r="B1848" t="inlineStr">
        <is>
          <t>T88</t>
        </is>
      </c>
      <c r="C1848" t="inlineStr">
        <is>
          <t>Taiton Resources Ltd</t>
        </is>
      </c>
      <c r="D1848" t="inlineStr">
        <is>
          <t>AUD</t>
        </is>
      </c>
      <c r="E1848" t="inlineStr">
        <is>
          <t>ASX</t>
        </is>
      </c>
    </row>
    <row r="1849">
      <c r="B1849" t="inlineStr">
        <is>
          <t>ZAG</t>
        </is>
      </c>
      <c r="C1849" t="inlineStr">
        <is>
          <t>Zuleika Gold Ltd</t>
        </is>
      </c>
      <c r="D1849" t="inlineStr">
        <is>
          <t>AUD</t>
        </is>
      </c>
      <c r="E1849" t="inlineStr">
        <is>
          <t>ASX</t>
        </is>
      </c>
    </row>
    <row r="1850">
      <c r="B1850" t="inlineStr">
        <is>
          <t>TG6</t>
        </is>
      </c>
      <c r="C1850" t="inlineStr">
        <is>
          <t>TG Metals Ltd</t>
        </is>
      </c>
      <c r="D1850" t="inlineStr">
        <is>
          <t>AUD</t>
        </is>
      </c>
      <c r="E1850" t="inlineStr">
        <is>
          <t>ASX</t>
        </is>
      </c>
    </row>
    <row r="1851">
      <c r="B1851" t="inlineStr">
        <is>
          <t>ZNO</t>
        </is>
      </c>
      <c r="C1851" t="inlineStr">
        <is>
          <t>ZOONO Group Ltd</t>
        </is>
      </c>
      <c r="D1851" t="inlineStr">
        <is>
          <t>AUD</t>
        </is>
      </c>
      <c r="E1851" t="inlineStr">
        <is>
          <t>ASX</t>
        </is>
      </c>
    </row>
    <row r="1852">
      <c r="B1852" t="inlineStr">
        <is>
          <t>BUR</t>
        </is>
      </c>
      <c r="C1852" t="inlineStr">
        <is>
          <t>Burley Minerals Ltd</t>
        </is>
      </c>
      <c r="D1852" t="inlineStr">
        <is>
          <t>AUD</t>
        </is>
      </c>
      <c r="E1852" t="inlineStr">
        <is>
          <t>ASX</t>
        </is>
      </c>
    </row>
    <row r="1853">
      <c r="B1853" t="inlineStr">
        <is>
          <t>CRS</t>
        </is>
      </c>
      <c r="C1853" t="inlineStr">
        <is>
          <t>Caprice Resources Ltd</t>
        </is>
      </c>
      <c r="D1853" t="inlineStr">
        <is>
          <t>AUD</t>
        </is>
      </c>
      <c r="E1853" t="inlineStr">
        <is>
          <t>ASX</t>
        </is>
      </c>
    </row>
    <row r="1854">
      <c r="B1854" t="inlineStr">
        <is>
          <t>IND</t>
        </is>
      </c>
      <c r="C1854" t="inlineStr">
        <is>
          <t>Industrial Minerals Ltd</t>
        </is>
      </c>
      <c r="D1854" t="inlineStr">
        <is>
          <t>AUD</t>
        </is>
      </c>
      <c r="E1854" t="inlineStr">
        <is>
          <t>ASX</t>
        </is>
      </c>
    </row>
    <row r="1855">
      <c r="B1855" t="inlineStr">
        <is>
          <t>ANX</t>
        </is>
      </c>
      <c r="C1855" t="inlineStr">
        <is>
          <t>ANAX Metals Ltd</t>
        </is>
      </c>
      <c r="D1855" t="inlineStr">
        <is>
          <t>AUD</t>
        </is>
      </c>
      <c r="E1855" t="inlineStr">
        <is>
          <t>ASX</t>
        </is>
      </c>
    </row>
    <row r="1856">
      <c r="B1856" t="inlineStr">
        <is>
          <t>OD6</t>
        </is>
      </c>
      <c r="C1856" t="inlineStr">
        <is>
          <t>OD6 Metals Ltd</t>
        </is>
      </c>
      <c r="D1856" t="inlineStr">
        <is>
          <t>AUD</t>
        </is>
      </c>
      <c r="E1856" t="inlineStr">
        <is>
          <t>ASX</t>
        </is>
      </c>
    </row>
    <row r="1857">
      <c r="B1857" t="inlineStr">
        <is>
          <t>FLG</t>
        </is>
      </c>
      <c r="C1857" t="inlineStr">
        <is>
          <t>Flagship Minerals Ltd</t>
        </is>
      </c>
      <c r="D1857" t="inlineStr">
        <is>
          <t>AUD</t>
        </is>
      </c>
      <c r="E1857" t="inlineStr">
        <is>
          <t>ASX</t>
        </is>
      </c>
    </row>
    <row r="1858">
      <c r="B1858" t="inlineStr">
        <is>
          <t>MRR</t>
        </is>
      </c>
      <c r="C1858" t="inlineStr">
        <is>
          <t>Minrex Resources Ltd</t>
        </is>
      </c>
      <c r="D1858" t="inlineStr">
        <is>
          <t>AUD</t>
        </is>
      </c>
      <c r="E1858" t="inlineStr">
        <is>
          <t>ASX</t>
        </is>
      </c>
    </row>
    <row r="1859">
      <c r="B1859" t="inlineStr">
        <is>
          <t>EVG</t>
        </is>
      </c>
      <c r="C1859" t="inlineStr">
        <is>
          <t>Evion Group NL</t>
        </is>
      </c>
      <c r="D1859" t="inlineStr">
        <is>
          <t>AUD</t>
        </is>
      </c>
      <c r="E1859" t="inlineStr">
        <is>
          <t>ASX</t>
        </is>
      </c>
    </row>
    <row r="1860">
      <c r="B1860" t="inlineStr">
        <is>
          <t>EXL</t>
        </is>
      </c>
      <c r="C1860" t="inlineStr">
        <is>
          <t>Elixinol Wellness Ltd</t>
        </is>
      </c>
      <c r="D1860" t="inlineStr">
        <is>
          <t>AUD</t>
        </is>
      </c>
      <c r="E1860" t="inlineStr">
        <is>
          <t>ASX</t>
        </is>
      </c>
    </row>
    <row r="1861">
      <c r="B1861" t="inlineStr">
        <is>
          <t>SCN</t>
        </is>
      </c>
      <c r="C1861" t="inlineStr">
        <is>
          <t>Scorpion Minerals Ltd</t>
        </is>
      </c>
      <c r="D1861" t="inlineStr">
        <is>
          <t>AUD</t>
        </is>
      </c>
      <c r="E1861" t="inlineStr">
        <is>
          <t>ASX</t>
        </is>
      </c>
    </row>
    <row r="1862">
      <c r="B1862" t="inlineStr">
        <is>
          <t>G200</t>
        </is>
      </c>
      <c r="C1862" t="inlineStr">
        <is>
          <t>Betashares Wealthbuilder AUS200 Geared Complex ETF</t>
        </is>
      </c>
      <c r="D1862" t="inlineStr">
        <is>
          <t>AUD</t>
        </is>
      </c>
      <c r="E1862" t="inlineStr">
        <is>
          <t>ASX</t>
        </is>
      </c>
    </row>
    <row r="1863">
      <c r="B1863" t="inlineStr">
        <is>
          <t>IPC</t>
        </is>
      </c>
      <c r="C1863" t="inlineStr">
        <is>
          <t>Imperial Pacific Ltd</t>
        </is>
      </c>
      <c r="D1863" t="inlineStr">
        <is>
          <t>AUD</t>
        </is>
      </c>
      <c r="E1863" t="inlineStr">
        <is>
          <t>ASX</t>
        </is>
      </c>
    </row>
    <row r="1864">
      <c r="B1864" t="inlineStr">
        <is>
          <t>PFE</t>
        </is>
      </c>
      <c r="C1864" t="inlineStr">
        <is>
          <t>Pantera Lithium Ltd</t>
        </is>
      </c>
      <c r="D1864" t="inlineStr">
        <is>
          <t>AUD</t>
        </is>
      </c>
      <c r="E1864" t="inlineStr">
        <is>
          <t>ASX</t>
        </is>
      </c>
    </row>
    <row r="1865">
      <c r="B1865" t="inlineStr">
        <is>
          <t>SRK</t>
        </is>
      </c>
      <c r="C1865" t="inlineStr">
        <is>
          <t>Strike Resources Ltd</t>
        </is>
      </c>
      <c r="D1865" t="inlineStr">
        <is>
          <t>AUD</t>
        </is>
      </c>
      <c r="E1865" t="inlineStr">
        <is>
          <t>ASX</t>
        </is>
      </c>
    </row>
    <row r="1866">
      <c r="B1866" t="inlineStr">
        <is>
          <t>AMS</t>
        </is>
      </c>
      <c r="C1866" t="inlineStr">
        <is>
          <t>Atomos Ltd</t>
        </is>
      </c>
      <c r="D1866" t="inlineStr">
        <is>
          <t>AUD</t>
        </is>
      </c>
      <c r="E1866" t="inlineStr">
        <is>
          <t>ASX</t>
        </is>
      </c>
    </row>
    <row r="1867">
      <c r="B1867" t="inlineStr">
        <is>
          <t>CML</t>
        </is>
      </c>
      <c r="C1867" t="inlineStr">
        <is>
          <t>Connected Minerals Ltd</t>
        </is>
      </c>
      <c r="D1867" t="inlineStr">
        <is>
          <t>AUD</t>
        </is>
      </c>
      <c r="E1867" t="inlineStr">
        <is>
          <t>ASX</t>
        </is>
      </c>
    </row>
    <row r="1868">
      <c r="B1868" t="inlineStr">
        <is>
          <t>APL</t>
        </is>
      </c>
      <c r="C1868" t="inlineStr">
        <is>
          <t>Associate Global Partners Ltd</t>
        </is>
      </c>
      <c r="D1868" t="inlineStr">
        <is>
          <t>AUD</t>
        </is>
      </c>
      <c r="E1868" t="inlineStr">
        <is>
          <t>ASX</t>
        </is>
      </c>
    </row>
    <row r="1869">
      <c r="B1869" t="inlineStr">
        <is>
          <t>SRN</t>
        </is>
      </c>
      <c r="C1869" t="inlineStr">
        <is>
          <t>Surefire Resources NL</t>
        </is>
      </c>
      <c r="D1869" t="inlineStr">
        <is>
          <t>AUD</t>
        </is>
      </c>
      <c r="E1869" t="inlineStr">
        <is>
          <t>ASX</t>
        </is>
      </c>
    </row>
    <row r="1870">
      <c r="B1870" t="inlineStr">
        <is>
          <t>VEN</t>
        </is>
      </c>
      <c r="C1870" t="inlineStr">
        <is>
          <t>Vintage Energy Ltd</t>
        </is>
      </c>
      <c r="D1870" t="inlineStr">
        <is>
          <t>AUD</t>
        </is>
      </c>
      <c r="E1870" t="inlineStr">
        <is>
          <t>ASX</t>
        </is>
      </c>
    </row>
    <row r="1871">
      <c r="B1871" t="inlineStr">
        <is>
          <t>MTUM</t>
        </is>
      </c>
      <c r="C1871" t="inlineStr">
        <is>
          <t>Betashares Australian Momentum ETF</t>
        </is>
      </c>
      <c r="D1871" t="inlineStr">
        <is>
          <t>AUD</t>
        </is>
      </c>
      <c r="E1871" t="inlineStr">
        <is>
          <t>ASX</t>
        </is>
      </c>
    </row>
    <row r="1872">
      <c r="B1872" t="inlineStr">
        <is>
          <t>AHK</t>
        </is>
      </c>
      <c r="C1872" t="inlineStr">
        <is>
          <t>Ark Mines Ltd</t>
        </is>
      </c>
      <c r="D1872" t="inlineStr">
        <is>
          <t>AUD</t>
        </is>
      </c>
      <c r="E1872" t="inlineStr">
        <is>
          <t>ASX</t>
        </is>
      </c>
    </row>
    <row r="1873">
      <c r="B1873" t="inlineStr">
        <is>
          <t>EPN</t>
        </is>
      </c>
      <c r="C1873" t="inlineStr">
        <is>
          <t>Epsilon Healthcare Ltd</t>
        </is>
      </c>
      <c r="D1873" t="inlineStr">
        <is>
          <t>AUD</t>
        </is>
      </c>
      <c r="E1873" t="inlineStr">
        <is>
          <t>ASX</t>
        </is>
      </c>
    </row>
    <row r="1874">
      <c r="B1874" t="inlineStr">
        <is>
          <t>SRR</t>
        </is>
      </c>
      <c r="C1874" t="inlineStr">
        <is>
          <t>Sarama Resources Ltd</t>
        </is>
      </c>
      <c r="D1874" t="inlineStr">
        <is>
          <t>AUD</t>
        </is>
      </c>
      <c r="E1874" t="inlineStr">
        <is>
          <t>ASX</t>
        </is>
      </c>
    </row>
    <row r="1875">
      <c r="B1875" t="inlineStr">
        <is>
          <t>PGY</t>
        </is>
      </c>
      <c r="C1875" t="inlineStr">
        <is>
          <t>Pilot Energy Ltd</t>
        </is>
      </c>
      <c r="D1875" t="inlineStr">
        <is>
          <t>AUD</t>
        </is>
      </c>
      <c r="E1875" t="inlineStr">
        <is>
          <t>ASX</t>
        </is>
      </c>
    </row>
    <row r="1876">
      <c r="B1876" t="inlineStr">
        <is>
          <t>JCS</t>
        </is>
      </c>
      <c r="C1876" t="inlineStr">
        <is>
          <t>Jcurve Solutions Ltd</t>
        </is>
      </c>
      <c r="D1876" t="inlineStr">
        <is>
          <t>AUD</t>
        </is>
      </c>
      <c r="E1876" t="inlineStr">
        <is>
          <t>ASX</t>
        </is>
      </c>
    </row>
    <row r="1877">
      <c r="B1877" t="inlineStr">
        <is>
          <t>ALY</t>
        </is>
      </c>
      <c r="C1877" t="inlineStr">
        <is>
          <t>Alchemy Resources Ltd</t>
        </is>
      </c>
      <c r="D1877" t="inlineStr">
        <is>
          <t>AUD</t>
        </is>
      </c>
      <c r="E1877" t="inlineStr">
        <is>
          <t>ASX</t>
        </is>
      </c>
    </row>
    <row r="1878">
      <c r="B1878" t="inlineStr">
        <is>
          <t>BUX</t>
        </is>
      </c>
      <c r="C1878" t="inlineStr">
        <is>
          <t>Buxton Resources Ltd</t>
        </is>
      </c>
      <c r="D1878" t="inlineStr">
        <is>
          <t>AUD</t>
        </is>
      </c>
      <c r="E1878" t="inlineStr">
        <is>
          <t>ASX</t>
        </is>
      </c>
    </row>
    <row r="1879">
      <c r="B1879" t="inlineStr">
        <is>
          <t>EDE</t>
        </is>
      </c>
      <c r="C1879" t="inlineStr">
        <is>
          <t>Eden Innovations Ltd</t>
        </is>
      </c>
      <c r="D1879" t="inlineStr">
        <is>
          <t>AUD</t>
        </is>
      </c>
      <c r="E1879" t="inlineStr">
        <is>
          <t>ASX</t>
        </is>
      </c>
    </row>
    <row r="1880">
      <c r="B1880" t="inlineStr">
        <is>
          <t>KNO</t>
        </is>
      </c>
      <c r="C1880" t="inlineStr">
        <is>
          <t>Knosys Ltd</t>
        </is>
      </c>
      <c r="D1880" t="inlineStr">
        <is>
          <t>AUD</t>
        </is>
      </c>
      <c r="E1880" t="inlineStr">
        <is>
          <t>ASX</t>
        </is>
      </c>
    </row>
    <row r="1881">
      <c r="B1881" t="inlineStr">
        <is>
          <t>GIB</t>
        </is>
      </c>
      <c r="C1881" t="inlineStr">
        <is>
          <t>Gibb River Diamonds Ltd</t>
        </is>
      </c>
      <c r="D1881" t="inlineStr">
        <is>
          <t>AUD</t>
        </is>
      </c>
      <c r="E1881" t="inlineStr">
        <is>
          <t>ASX</t>
        </is>
      </c>
    </row>
    <row r="1882">
      <c r="B1882" t="inlineStr">
        <is>
          <t>GLH</t>
        </is>
      </c>
      <c r="C1882" t="inlineStr">
        <is>
          <t>Global Health Ltd</t>
        </is>
      </c>
      <c r="D1882" t="inlineStr">
        <is>
          <t>AUD</t>
        </is>
      </c>
      <c r="E1882" t="inlineStr">
        <is>
          <t>ASX</t>
        </is>
      </c>
    </row>
    <row r="1883">
      <c r="B1883" t="inlineStr">
        <is>
          <t>CPN</t>
        </is>
      </c>
      <c r="C1883" t="inlineStr">
        <is>
          <t>Caspin Resources Ltd</t>
        </is>
      </c>
      <c r="D1883" t="inlineStr">
        <is>
          <t>AUD</t>
        </is>
      </c>
      <c r="E1883" t="inlineStr">
        <is>
          <t>ASX</t>
        </is>
      </c>
    </row>
    <row r="1884">
      <c r="B1884" t="inlineStr">
        <is>
          <t>DCL</t>
        </is>
      </c>
      <c r="C1884" t="inlineStr">
        <is>
          <t>Domacom Ltd</t>
        </is>
      </c>
      <c r="D1884" t="inlineStr">
        <is>
          <t>AUD</t>
        </is>
      </c>
      <c r="E1884" t="inlineStr">
        <is>
          <t>ASX</t>
        </is>
      </c>
    </row>
    <row r="1885">
      <c r="B1885" t="inlineStr">
        <is>
          <t>FME</t>
        </is>
      </c>
      <c r="C1885" t="inlineStr">
        <is>
          <t>Future Metals NL</t>
        </is>
      </c>
      <c r="D1885" t="inlineStr">
        <is>
          <t>AUD</t>
        </is>
      </c>
      <c r="E1885" t="inlineStr">
        <is>
          <t>ASX</t>
        </is>
      </c>
    </row>
    <row r="1886">
      <c r="B1886" t="inlineStr">
        <is>
          <t>AHN</t>
        </is>
      </c>
      <c r="C1886" t="inlineStr">
        <is>
          <t>Athena Resources Ltd</t>
        </is>
      </c>
      <c r="D1886" t="inlineStr">
        <is>
          <t>AUD</t>
        </is>
      </c>
      <c r="E1886" t="inlineStr">
        <is>
          <t>ASX</t>
        </is>
      </c>
    </row>
    <row r="1887">
      <c r="B1887" t="inlineStr">
        <is>
          <t>MBK</t>
        </is>
      </c>
      <c r="C1887" t="inlineStr">
        <is>
          <t>Metal Bank Ltd</t>
        </is>
      </c>
      <c r="D1887" t="inlineStr">
        <is>
          <t>AUD</t>
        </is>
      </c>
      <c r="E1887" t="inlineStr">
        <is>
          <t>ASX</t>
        </is>
      </c>
    </row>
    <row r="1888">
      <c r="B1888" t="inlineStr">
        <is>
          <t>ALM</t>
        </is>
      </c>
      <c r="C1888" t="inlineStr">
        <is>
          <t>Alma Metals Ltd</t>
        </is>
      </c>
      <c r="D1888" t="inlineStr">
        <is>
          <t>AUD</t>
        </is>
      </c>
      <c r="E1888" t="inlineStr">
        <is>
          <t>ASX</t>
        </is>
      </c>
    </row>
    <row r="1889">
      <c r="B1889" t="inlineStr">
        <is>
          <t>TRI</t>
        </is>
      </c>
      <c r="C1889" t="inlineStr">
        <is>
          <t>Trivarx Ltd</t>
        </is>
      </c>
      <c r="D1889" t="inlineStr">
        <is>
          <t>AUD</t>
        </is>
      </c>
      <c r="E1889" t="inlineStr">
        <is>
          <t>ASX</t>
        </is>
      </c>
    </row>
    <row r="1890">
      <c r="B1890" t="inlineStr">
        <is>
          <t>1MC</t>
        </is>
      </c>
      <c r="C1890" t="inlineStr">
        <is>
          <t>Morella Corporation Ltd</t>
        </is>
      </c>
      <c r="D1890" t="inlineStr">
        <is>
          <t>AUD</t>
        </is>
      </c>
      <c r="E1890" t="inlineStr">
        <is>
          <t>ASX</t>
        </is>
      </c>
    </row>
    <row r="1891">
      <c r="B1891" t="inlineStr">
        <is>
          <t>X2M</t>
        </is>
      </c>
      <c r="C1891" t="inlineStr">
        <is>
          <t>X2M Connect Ltd</t>
        </is>
      </c>
      <c r="D1891" t="inlineStr">
        <is>
          <t>AUD</t>
        </is>
      </c>
      <c r="E1891" t="inlineStr">
        <is>
          <t>ASX</t>
        </is>
      </c>
    </row>
    <row r="1892">
      <c r="B1892" t="inlineStr">
        <is>
          <t>PRS</t>
        </is>
      </c>
      <c r="C1892" t="inlineStr">
        <is>
          <t>Prospech Ltd</t>
        </is>
      </c>
      <c r="D1892" t="inlineStr">
        <is>
          <t>AUD</t>
        </is>
      </c>
      <c r="E1892" t="inlineStr">
        <is>
          <t>ASX</t>
        </is>
      </c>
    </row>
    <row r="1893">
      <c r="B1893" t="inlineStr">
        <is>
          <t>VAR</t>
        </is>
      </c>
      <c r="C1893" t="inlineStr">
        <is>
          <t>Variscan Mines Ltd</t>
        </is>
      </c>
      <c r="D1893" t="inlineStr">
        <is>
          <t>AUD</t>
        </is>
      </c>
      <c r="E1893" t="inlineStr">
        <is>
          <t>ASX</t>
        </is>
      </c>
    </row>
    <row r="1894">
      <c r="B1894" t="inlineStr">
        <is>
          <t>LIO</t>
        </is>
      </c>
      <c r="C1894" t="inlineStr">
        <is>
          <t>Lion Energy Ltd</t>
        </is>
      </c>
      <c r="D1894" t="inlineStr">
        <is>
          <t>AUD</t>
        </is>
      </c>
      <c r="E1894" t="inlineStr">
        <is>
          <t>ASX</t>
        </is>
      </c>
    </row>
    <row r="1895">
      <c r="B1895" t="inlineStr">
        <is>
          <t>HMI</t>
        </is>
      </c>
      <c r="C1895" t="inlineStr">
        <is>
          <t>Hiremii Ltd</t>
        </is>
      </c>
      <c r="D1895" t="inlineStr">
        <is>
          <t>AUD</t>
        </is>
      </c>
      <c r="E1895" t="inlineStr">
        <is>
          <t>ASX</t>
        </is>
      </c>
    </row>
    <row r="1896">
      <c r="B1896" t="inlineStr">
        <is>
          <t>8CO</t>
        </is>
      </c>
      <c r="C1896" t="inlineStr">
        <is>
          <t>8COMMON Ltd</t>
        </is>
      </c>
      <c r="D1896" t="inlineStr">
        <is>
          <t>AUD</t>
        </is>
      </c>
      <c r="E1896" t="inlineStr">
        <is>
          <t>ASX</t>
        </is>
      </c>
    </row>
    <row r="1897">
      <c r="B1897" t="inlineStr">
        <is>
          <t>REY</t>
        </is>
      </c>
      <c r="C1897" t="inlineStr">
        <is>
          <t>REY Resources Ltd</t>
        </is>
      </c>
      <c r="D1897" t="inlineStr">
        <is>
          <t>AUD</t>
        </is>
      </c>
      <c r="E1897" t="inlineStr">
        <is>
          <t>ASX</t>
        </is>
      </c>
    </row>
    <row r="1898">
      <c r="B1898" t="inlineStr">
        <is>
          <t>ASQ</t>
        </is>
      </c>
      <c r="C1898" t="inlineStr">
        <is>
          <t>Australian Silica Quartz Group Ltd</t>
        </is>
      </c>
      <c r="D1898" t="inlineStr">
        <is>
          <t>AUD</t>
        </is>
      </c>
      <c r="E1898" t="inlineStr">
        <is>
          <t>ASX</t>
        </is>
      </c>
    </row>
    <row r="1899">
      <c r="B1899" t="inlineStr">
        <is>
          <t>EMN</t>
        </is>
      </c>
      <c r="C1899" t="inlineStr">
        <is>
          <t>Euro Manganese Inc</t>
        </is>
      </c>
      <c r="D1899" t="inlineStr">
        <is>
          <t>AUD</t>
        </is>
      </c>
      <c r="E1899" t="inlineStr">
        <is>
          <t>ASX</t>
        </is>
      </c>
    </row>
    <row r="1900">
      <c r="B1900" t="inlineStr">
        <is>
          <t>DTR</t>
        </is>
      </c>
      <c r="C1900" t="inlineStr">
        <is>
          <t>Dateline Resources Ltd</t>
        </is>
      </c>
      <c r="D1900" t="inlineStr">
        <is>
          <t>AUD</t>
        </is>
      </c>
      <c r="E1900" t="inlineStr">
        <is>
          <t>ASX</t>
        </is>
      </c>
    </row>
    <row r="1901">
      <c r="B1901" t="inlineStr">
        <is>
          <t>UCM</t>
        </is>
      </c>
      <c r="C1901" t="inlineStr">
        <is>
          <t>Uscom Ltd</t>
        </is>
      </c>
      <c r="D1901" t="inlineStr">
        <is>
          <t>AUD</t>
        </is>
      </c>
      <c r="E1901" t="inlineStr">
        <is>
          <t>ASX</t>
        </is>
      </c>
    </row>
    <row r="1902">
      <c r="B1902" t="inlineStr">
        <is>
          <t>GRE</t>
        </is>
      </c>
      <c r="C1902" t="inlineStr">
        <is>
          <t>Greentech Metals Ltd</t>
        </is>
      </c>
      <c r="D1902" t="inlineStr">
        <is>
          <t>AUD</t>
        </is>
      </c>
      <c r="E1902" t="inlineStr">
        <is>
          <t>ASX</t>
        </is>
      </c>
    </row>
    <row r="1903">
      <c r="B1903" t="inlineStr">
        <is>
          <t>YANK</t>
        </is>
      </c>
      <c r="C1903" t="inlineStr">
        <is>
          <t>Betashares Strong U.S. Dollar Fund (Hedge Fund)</t>
        </is>
      </c>
      <c r="D1903" t="inlineStr">
        <is>
          <t>AUD</t>
        </is>
      </c>
      <c r="E1903" t="inlineStr">
        <is>
          <t>ASX</t>
        </is>
      </c>
    </row>
    <row r="1904">
      <c r="B1904" t="inlineStr">
        <is>
          <t>AX8</t>
        </is>
      </c>
      <c r="C1904" t="inlineStr">
        <is>
          <t>Accelerate Resources Ltd</t>
        </is>
      </c>
      <c r="D1904" t="inlineStr">
        <is>
          <t>AUD</t>
        </is>
      </c>
      <c r="E1904" t="inlineStr">
        <is>
          <t>ASX</t>
        </is>
      </c>
    </row>
    <row r="1905">
      <c r="B1905" t="inlineStr">
        <is>
          <t>XGL</t>
        </is>
      </c>
      <c r="C1905" t="inlineStr">
        <is>
          <t>Xamble Group Ltd</t>
        </is>
      </c>
      <c r="D1905" t="inlineStr">
        <is>
          <t>AUD</t>
        </is>
      </c>
      <c r="E1905" t="inlineStr">
        <is>
          <t>ASX</t>
        </is>
      </c>
    </row>
    <row r="1906">
      <c r="B1906" t="inlineStr">
        <is>
          <t>AAU</t>
        </is>
      </c>
      <c r="C1906" t="inlineStr">
        <is>
          <t>Antilles Gold Ltd</t>
        </is>
      </c>
      <c r="D1906" t="inlineStr">
        <is>
          <t>AUD</t>
        </is>
      </c>
      <c r="E1906" t="inlineStr">
        <is>
          <t>ASX</t>
        </is>
      </c>
    </row>
    <row r="1907">
      <c r="B1907" t="inlineStr">
        <is>
          <t>TFL</t>
        </is>
      </c>
      <c r="C1907" t="inlineStr">
        <is>
          <t>Tasfoods Ltd</t>
        </is>
      </c>
      <c r="D1907" t="inlineStr">
        <is>
          <t>AUD</t>
        </is>
      </c>
      <c r="E1907" t="inlineStr">
        <is>
          <t>ASX</t>
        </is>
      </c>
    </row>
    <row r="1908">
      <c r="B1908" t="inlineStr">
        <is>
          <t>MRI</t>
        </is>
      </c>
      <c r="C1908" t="inlineStr">
        <is>
          <t>My Rewards International Ltd</t>
        </is>
      </c>
      <c r="D1908" t="inlineStr">
        <is>
          <t>AUD</t>
        </is>
      </c>
      <c r="E1908" t="inlineStr">
        <is>
          <t>ASX</t>
        </is>
      </c>
    </row>
    <row r="1909">
      <c r="B1909" t="inlineStr">
        <is>
          <t>VSR</t>
        </is>
      </c>
      <c r="C1909" t="inlineStr">
        <is>
          <t>Voltaic Strategic Resources Ltd</t>
        </is>
      </c>
      <c r="D1909" t="inlineStr">
        <is>
          <t>AUD</t>
        </is>
      </c>
      <c r="E1909" t="inlineStr">
        <is>
          <t>ASX</t>
        </is>
      </c>
    </row>
    <row r="1910">
      <c r="B1910" t="inlineStr">
        <is>
          <t>LHM</t>
        </is>
      </c>
      <c r="C1910" t="inlineStr">
        <is>
          <t>Land &amp; Homes Group Ltd</t>
        </is>
      </c>
      <c r="D1910" t="inlineStr">
        <is>
          <t>AUD</t>
        </is>
      </c>
      <c r="E1910" t="inlineStr">
        <is>
          <t>ASX</t>
        </is>
      </c>
    </row>
    <row r="1911">
      <c r="B1911" t="inlineStr">
        <is>
          <t>UYLD</t>
        </is>
      </c>
      <c r="C1911" t="inlineStr">
        <is>
          <t>Global X S&amp;P 500 Covered Call ETF</t>
        </is>
      </c>
      <c r="D1911" t="inlineStr">
        <is>
          <t>AUD</t>
        </is>
      </c>
      <c r="E1911" t="inlineStr">
        <is>
          <t>ASX</t>
        </is>
      </c>
    </row>
    <row r="1912">
      <c r="B1912" t="inlineStr">
        <is>
          <t>DVL</t>
        </is>
      </c>
      <c r="C1912" t="inlineStr">
        <is>
          <t>Dorsavi Ltd</t>
        </is>
      </c>
      <c r="D1912" t="inlineStr">
        <is>
          <t>AUD</t>
        </is>
      </c>
      <c r="E1912" t="inlineStr">
        <is>
          <t>ASX</t>
        </is>
      </c>
    </row>
    <row r="1913">
      <c r="B1913" t="inlineStr">
        <is>
          <t>THB</t>
        </is>
      </c>
      <c r="C1913" t="inlineStr">
        <is>
          <t>Thunderbird Resources Ltd</t>
        </is>
      </c>
      <c r="D1913" t="inlineStr">
        <is>
          <t>AUD</t>
        </is>
      </c>
      <c r="E1913" t="inlineStr">
        <is>
          <t>ASX</t>
        </is>
      </c>
    </row>
    <row r="1914">
      <c r="B1914" t="inlineStr">
        <is>
          <t>RON</t>
        </is>
      </c>
      <c r="C1914" t="inlineStr">
        <is>
          <t>Ronin Resources Ltd</t>
        </is>
      </c>
      <c r="D1914" t="inlineStr">
        <is>
          <t>AUD</t>
        </is>
      </c>
      <c r="E1914" t="inlineStr">
        <is>
          <t>ASX</t>
        </is>
      </c>
    </row>
    <row r="1915">
      <c r="B1915" t="inlineStr">
        <is>
          <t>PVT</t>
        </is>
      </c>
      <c r="C1915" t="inlineStr">
        <is>
          <t>Pivotal Metals Ltd</t>
        </is>
      </c>
      <c r="D1915" t="inlineStr">
        <is>
          <t>AUD</t>
        </is>
      </c>
      <c r="E1915" t="inlineStr">
        <is>
          <t>ASX</t>
        </is>
      </c>
    </row>
    <row r="1916">
      <c r="B1916" t="inlineStr">
        <is>
          <t>GLL</t>
        </is>
      </c>
      <c r="C1916" t="inlineStr">
        <is>
          <t>Galilee Energy Ltd</t>
        </is>
      </c>
      <c r="D1916" t="inlineStr">
        <is>
          <t>AUD</t>
        </is>
      </c>
      <c r="E1916" t="inlineStr">
        <is>
          <t>ASX</t>
        </is>
      </c>
    </row>
    <row r="1917">
      <c r="B1917" t="inlineStr">
        <is>
          <t>TMX</t>
        </is>
      </c>
      <c r="C1917" t="inlineStr">
        <is>
          <t>Terrain Minerals Ltd</t>
        </is>
      </c>
      <c r="D1917" t="inlineStr">
        <is>
          <t>AUD</t>
        </is>
      </c>
      <c r="E1917" t="inlineStr">
        <is>
          <t>ASX</t>
        </is>
      </c>
    </row>
    <row r="1918">
      <c r="B1918" t="inlineStr">
        <is>
          <t>IVG</t>
        </is>
      </c>
      <c r="C1918" t="inlineStr">
        <is>
          <t>Invert Graphite Ltd</t>
        </is>
      </c>
      <c r="D1918" t="inlineStr">
        <is>
          <t>AUD</t>
        </is>
      </c>
      <c r="E1918" t="inlineStr">
        <is>
          <t>ASX</t>
        </is>
      </c>
    </row>
    <row r="1919">
      <c r="B1919" t="inlineStr">
        <is>
          <t>ROC</t>
        </is>
      </c>
      <c r="C1919" t="inlineStr">
        <is>
          <t>Rocketboots Ltd</t>
        </is>
      </c>
      <c r="D1919" t="inlineStr">
        <is>
          <t>AUD</t>
        </is>
      </c>
      <c r="E1919" t="inlineStr">
        <is>
          <t>ASX</t>
        </is>
      </c>
    </row>
    <row r="1920">
      <c r="B1920" t="inlineStr">
        <is>
          <t>WEC</t>
        </is>
      </c>
      <c r="C1920" t="inlineStr">
        <is>
          <t>White Energy Company Ltd</t>
        </is>
      </c>
      <c r="D1920" t="inlineStr">
        <is>
          <t>AUD</t>
        </is>
      </c>
      <c r="E1920" t="inlineStr">
        <is>
          <t>ASX</t>
        </is>
      </c>
    </row>
    <row r="1921">
      <c r="B1921" t="inlineStr">
        <is>
          <t>BCA</t>
        </is>
      </c>
      <c r="C1921" t="inlineStr">
        <is>
          <t>Black Canyon Ltd</t>
        </is>
      </c>
      <c r="D1921" t="inlineStr">
        <is>
          <t>AUD</t>
        </is>
      </c>
      <c r="E1921" t="inlineStr">
        <is>
          <t>ASX</t>
        </is>
      </c>
    </row>
    <row r="1922">
      <c r="B1922" t="inlineStr">
        <is>
          <t>SIV</t>
        </is>
      </c>
      <c r="C1922" t="inlineStr">
        <is>
          <t>SIV Capital Ltd</t>
        </is>
      </c>
      <c r="D1922" t="inlineStr">
        <is>
          <t>AUD</t>
        </is>
      </c>
      <c r="E1922" t="inlineStr">
        <is>
          <t>ASX</t>
        </is>
      </c>
    </row>
    <row r="1923">
      <c r="B1923" t="inlineStr">
        <is>
          <t>PO3</t>
        </is>
      </c>
      <c r="C1923" t="inlineStr">
        <is>
          <t>Purifloh Ltd</t>
        </is>
      </c>
      <c r="D1923" t="inlineStr">
        <is>
          <t>AUD</t>
        </is>
      </c>
      <c r="E1923" t="inlineStr">
        <is>
          <t>ASX</t>
        </is>
      </c>
    </row>
    <row r="1924">
      <c r="B1924" t="inlineStr">
        <is>
          <t>LU7</t>
        </is>
      </c>
      <c r="C1924" t="inlineStr">
        <is>
          <t>Lithium Universe Ltd</t>
        </is>
      </c>
      <c r="D1924" t="inlineStr">
        <is>
          <t>AUD</t>
        </is>
      </c>
      <c r="E1924" t="inlineStr">
        <is>
          <t>ASX</t>
        </is>
      </c>
    </row>
    <row r="1925">
      <c r="B1925" t="inlineStr">
        <is>
          <t>D3E</t>
        </is>
      </c>
      <c r="C1925" t="inlineStr">
        <is>
          <t>D3 Energy Ltd</t>
        </is>
      </c>
      <c r="D1925" t="inlineStr">
        <is>
          <t>AUD</t>
        </is>
      </c>
      <c r="E1925" t="inlineStr">
        <is>
          <t>ASX</t>
        </is>
      </c>
    </row>
    <row r="1926">
      <c r="B1926" t="inlineStr">
        <is>
          <t>TAR</t>
        </is>
      </c>
      <c r="C1926" t="inlineStr">
        <is>
          <t>Taruga Minerals Ltd</t>
        </is>
      </c>
      <c r="D1926" t="inlineStr">
        <is>
          <t>AUD</t>
        </is>
      </c>
      <c r="E1926" t="inlineStr">
        <is>
          <t>ASX</t>
        </is>
      </c>
    </row>
    <row r="1927">
      <c r="B1927" t="inlineStr">
        <is>
          <t>BUS</t>
        </is>
      </c>
      <c r="C1927" t="inlineStr">
        <is>
          <t>Bubalus Resources Ltd</t>
        </is>
      </c>
      <c r="D1927" t="inlineStr">
        <is>
          <t>AUD</t>
        </is>
      </c>
      <c r="E1927" t="inlineStr">
        <is>
          <t>ASX</t>
        </is>
      </c>
    </row>
    <row r="1928">
      <c r="B1928" t="inlineStr">
        <is>
          <t>AD1</t>
        </is>
      </c>
      <c r="C1928" t="inlineStr">
        <is>
          <t>Adneo Ltd</t>
        </is>
      </c>
      <c r="D1928" t="inlineStr">
        <is>
          <t>AUD</t>
        </is>
      </c>
      <c r="E1928" t="inlineStr">
        <is>
          <t>ASX</t>
        </is>
      </c>
    </row>
    <row r="1929">
      <c r="B1929" t="inlineStr">
        <is>
          <t>KNM</t>
        </is>
      </c>
      <c r="C1929" t="inlineStr">
        <is>
          <t>Kneomedia Ltd</t>
        </is>
      </c>
      <c r="D1929" t="inlineStr">
        <is>
          <t>AUD</t>
        </is>
      </c>
      <c r="E1929" t="inlineStr">
        <is>
          <t>ASX</t>
        </is>
      </c>
    </row>
    <row r="1930">
      <c r="B1930" t="inlineStr">
        <is>
          <t>NRX</t>
        </is>
      </c>
      <c r="C1930" t="inlineStr">
        <is>
          <t>Noronex Ltd</t>
        </is>
      </c>
      <c r="D1930" t="inlineStr">
        <is>
          <t>AUD</t>
        </is>
      </c>
      <c r="E1930" t="inlineStr">
        <is>
          <t>ASX</t>
        </is>
      </c>
    </row>
    <row r="1931">
      <c r="B1931" t="inlineStr">
        <is>
          <t>C29</t>
        </is>
      </c>
      <c r="C1931" t="inlineStr">
        <is>
          <t>C29 Metals Ltd</t>
        </is>
      </c>
      <c r="D1931" t="inlineStr">
        <is>
          <t>AUD</t>
        </is>
      </c>
      <c r="E1931" t="inlineStr">
        <is>
          <t>ASX</t>
        </is>
      </c>
    </row>
    <row r="1932">
      <c r="B1932" t="inlineStr">
        <is>
          <t>TOY</t>
        </is>
      </c>
      <c r="C1932" t="inlineStr">
        <is>
          <t>Toys'R'US ANZ Ltd</t>
        </is>
      </c>
      <c r="D1932" t="inlineStr">
        <is>
          <t>AUD</t>
        </is>
      </c>
      <c r="E1932" t="inlineStr">
        <is>
          <t>ASX</t>
        </is>
      </c>
    </row>
    <row r="1933">
      <c r="B1933" t="inlineStr">
        <is>
          <t>ASR</t>
        </is>
      </c>
      <c r="C1933" t="inlineStr">
        <is>
          <t>Asra Minerals Ltd</t>
        </is>
      </c>
      <c r="D1933" t="inlineStr">
        <is>
          <t>AUD</t>
        </is>
      </c>
      <c r="E1933" t="inlineStr">
        <is>
          <t>ASX</t>
        </is>
      </c>
    </row>
    <row r="1934">
      <c r="B1934" t="inlineStr">
        <is>
          <t>VMG</t>
        </is>
      </c>
      <c r="C1934" t="inlineStr">
        <is>
          <t>VDM Group Ltd</t>
        </is>
      </c>
      <c r="D1934" t="inlineStr">
        <is>
          <t>AUD</t>
        </is>
      </c>
      <c r="E1934" t="inlineStr">
        <is>
          <t>ASX</t>
        </is>
      </c>
    </row>
    <row r="1935">
      <c r="B1935" t="inlineStr">
        <is>
          <t>MVL</t>
        </is>
      </c>
      <c r="C1935" t="inlineStr">
        <is>
          <t>Marvel Gold Ltd</t>
        </is>
      </c>
      <c r="D1935" t="inlineStr">
        <is>
          <t>AUD</t>
        </is>
      </c>
      <c r="E1935" t="inlineStr">
        <is>
          <t>ASX</t>
        </is>
      </c>
    </row>
    <row r="1936">
      <c r="B1936" t="inlineStr">
        <is>
          <t>KCC</t>
        </is>
      </c>
      <c r="C1936" t="inlineStr">
        <is>
          <t>Kincora Copper Ltd</t>
        </is>
      </c>
      <c r="D1936" t="inlineStr">
        <is>
          <t>AUD</t>
        </is>
      </c>
      <c r="E1936" t="inlineStr">
        <is>
          <t>ASX</t>
        </is>
      </c>
    </row>
    <row r="1937">
      <c r="B1937" t="inlineStr">
        <is>
          <t>HCT</t>
        </is>
      </c>
      <c r="C1937" t="inlineStr">
        <is>
          <t>Holista Colltech Ltd</t>
        </is>
      </c>
      <c r="D1937" t="inlineStr">
        <is>
          <t>AUD</t>
        </is>
      </c>
      <c r="E1937" t="inlineStr">
        <is>
          <t>ASX</t>
        </is>
      </c>
    </row>
    <row r="1938">
      <c r="B1938" t="inlineStr">
        <is>
          <t>PLN</t>
        </is>
      </c>
      <c r="C1938" t="inlineStr">
        <is>
          <t>Pioneer Lithium Ltd</t>
        </is>
      </c>
      <c r="D1938" t="inlineStr">
        <is>
          <t>AUD</t>
        </is>
      </c>
      <c r="E1938" t="inlineStr">
        <is>
          <t>ASX</t>
        </is>
      </c>
    </row>
    <row r="1939">
      <c r="B1939" t="inlineStr">
        <is>
          <t>GLA</t>
        </is>
      </c>
      <c r="C1939" t="inlineStr">
        <is>
          <t>Gladiator Resources Ltd</t>
        </is>
      </c>
      <c r="D1939" t="inlineStr">
        <is>
          <t>AUD</t>
        </is>
      </c>
      <c r="E1939" t="inlineStr">
        <is>
          <t>ASX</t>
        </is>
      </c>
    </row>
    <row r="1940">
      <c r="B1940" t="inlineStr">
        <is>
          <t>REE</t>
        </is>
      </c>
      <c r="C1940" t="inlineStr">
        <is>
          <t>RAREX Ltd</t>
        </is>
      </c>
      <c r="D1940" t="inlineStr">
        <is>
          <t>AUD</t>
        </is>
      </c>
      <c r="E1940" t="inlineStr">
        <is>
          <t>ASX</t>
        </is>
      </c>
    </row>
    <row r="1941">
      <c r="B1941" t="inlineStr">
        <is>
          <t>NWM</t>
        </is>
      </c>
      <c r="C1941" t="inlineStr">
        <is>
          <t>Norwest Minerals Ltd</t>
        </is>
      </c>
      <c r="D1941" t="inlineStr">
        <is>
          <t>AUD</t>
        </is>
      </c>
      <c r="E1941" t="inlineStr">
        <is>
          <t>ASX</t>
        </is>
      </c>
    </row>
    <row r="1942">
      <c r="B1942" t="inlineStr">
        <is>
          <t>PUR</t>
        </is>
      </c>
      <c r="C1942" t="inlineStr">
        <is>
          <t>Pursuit Minerals Ltd</t>
        </is>
      </c>
      <c r="D1942" t="inlineStr">
        <is>
          <t>AUD</t>
        </is>
      </c>
      <c r="E1942" t="inlineStr">
        <is>
          <t>ASX</t>
        </is>
      </c>
    </row>
    <row r="1943">
      <c r="B1943" t="inlineStr">
        <is>
          <t>AVM</t>
        </is>
      </c>
      <c r="C1943" t="inlineStr">
        <is>
          <t>Advance Metals Ltd</t>
        </is>
      </c>
      <c r="D1943" t="inlineStr">
        <is>
          <t>AUD</t>
        </is>
      </c>
      <c r="E1943" t="inlineStr">
        <is>
          <t>ASX</t>
        </is>
      </c>
    </row>
    <row r="1944">
      <c r="B1944" t="inlineStr">
        <is>
          <t>WHK</t>
        </is>
      </c>
      <c r="C1944" t="inlineStr">
        <is>
          <t>Whitehawk Ltd</t>
        </is>
      </c>
      <c r="D1944" t="inlineStr">
        <is>
          <t>AUD</t>
        </is>
      </c>
      <c r="E1944" t="inlineStr">
        <is>
          <t>ASX</t>
        </is>
      </c>
    </row>
    <row r="1945">
      <c r="B1945" t="inlineStr">
        <is>
          <t>ADG</t>
        </is>
      </c>
      <c r="C1945" t="inlineStr">
        <is>
          <t>Adelong Gold Ltd</t>
        </is>
      </c>
      <c r="D1945" t="inlineStr">
        <is>
          <t>AUD</t>
        </is>
      </c>
      <c r="E1945" t="inlineStr">
        <is>
          <t>ASX</t>
        </is>
      </c>
    </row>
    <row r="1946">
      <c r="B1946" t="inlineStr">
        <is>
          <t>MTAV</t>
        </is>
      </c>
      <c r="C1946" t="inlineStr">
        <is>
          <t>Betashares Metaverse ETF</t>
        </is>
      </c>
      <c r="D1946" t="inlineStr">
        <is>
          <t>AUD</t>
        </is>
      </c>
      <c r="E1946" t="inlineStr">
        <is>
          <t>ASX</t>
        </is>
      </c>
    </row>
    <row r="1947">
      <c r="B1947" t="inlineStr">
        <is>
          <t>ICG</t>
        </is>
      </c>
      <c r="C1947" t="inlineStr">
        <is>
          <t>Inca Minerals Ltd</t>
        </is>
      </c>
      <c r="D1947" t="inlineStr">
        <is>
          <t>AUD</t>
        </is>
      </c>
      <c r="E1947" t="inlineStr">
        <is>
          <t>ASX</t>
        </is>
      </c>
    </row>
    <row r="1948">
      <c r="B1948" t="inlineStr">
        <is>
          <t>CVR</t>
        </is>
      </c>
      <c r="C1948" t="inlineStr">
        <is>
          <t>Cavalier Resources Ltd</t>
        </is>
      </c>
      <c r="D1948" t="inlineStr">
        <is>
          <t>AUD</t>
        </is>
      </c>
      <c r="E1948" t="inlineStr">
        <is>
          <t>ASX</t>
        </is>
      </c>
    </row>
    <row r="1949">
      <c r="B1949" t="inlineStr">
        <is>
          <t>AYT</t>
        </is>
      </c>
      <c r="C1949" t="inlineStr">
        <is>
          <t>Austin Metals Ltd</t>
        </is>
      </c>
      <c r="D1949" t="inlineStr">
        <is>
          <t>AUD</t>
        </is>
      </c>
      <c r="E1949" t="inlineStr">
        <is>
          <t>ASX</t>
        </is>
      </c>
    </row>
    <row r="1950">
      <c r="B1950" t="inlineStr">
        <is>
          <t>DES</t>
        </is>
      </c>
      <c r="C1950" t="inlineStr">
        <is>
          <t>Desoto Resources Ltd</t>
        </is>
      </c>
      <c r="D1950" t="inlineStr">
        <is>
          <t>AUD</t>
        </is>
      </c>
      <c r="E1950" t="inlineStr">
        <is>
          <t>ASX</t>
        </is>
      </c>
    </row>
    <row r="1951">
      <c r="B1951" t="inlineStr">
        <is>
          <t>SW1</t>
        </is>
      </c>
      <c r="C1951" t="inlineStr">
        <is>
          <t>Swift Networks Group Ltd</t>
        </is>
      </c>
      <c r="D1951" t="inlineStr">
        <is>
          <t>AUD</t>
        </is>
      </c>
      <c r="E1951" t="inlineStr">
        <is>
          <t>ASX</t>
        </is>
      </c>
    </row>
    <row r="1952">
      <c r="B1952" t="inlineStr">
        <is>
          <t>ETPMPT</t>
        </is>
      </c>
      <c r="C1952" t="inlineStr">
        <is>
          <t>Global X Metal Securities Australia Ltd</t>
        </is>
      </c>
      <c r="D1952" t="inlineStr">
        <is>
          <t>AUD</t>
        </is>
      </c>
      <c r="E1952" t="inlineStr">
        <is>
          <t>ASX</t>
        </is>
      </c>
    </row>
    <row r="1953">
      <c r="B1953" t="inlineStr">
        <is>
          <t>HYD</t>
        </is>
      </c>
      <c r="C1953" t="inlineStr">
        <is>
          <t>HYDRIX Ltd</t>
        </is>
      </c>
      <c r="D1953" t="inlineStr">
        <is>
          <t>AUD</t>
        </is>
      </c>
      <c r="E1953" t="inlineStr">
        <is>
          <t>ASX</t>
        </is>
      </c>
    </row>
    <row r="1954">
      <c r="B1954" t="inlineStr">
        <is>
          <t>AXL</t>
        </is>
      </c>
      <c r="C1954" t="inlineStr">
        <is>
          <t>Axel Ree Ltd</t>
        </is>
      </c>
      <c r="D1954" t="inlineStr">
        <is>
          <t>AUD</t>
        </is>
      </c>
      <c r="E1954" t="inlineStr">
        <is>
          <t>ASX</t>
        </is>
      </c>
    </row>
    <row r="1955">
      <c r="B1955" t="inlineStr">
        <is>
          <t>FG1</t>
        </is>
      </c>
      <c r="C1955" t="inlineStr">
        <is>
          <t>FLYNN Gold Ltd</t>
        </is>
      </c>
      <c r="D1955" t="inlineStr">
        <is>
          <t>AUD</t>
        </is>
      </c>
      <c r="E1955" t="inlineStr">
        <is>
          <t>ASX</t>
        </is>
      </c>
    </row>
    <row r="1956">
      <c r="B1956" t="inlineStr">
        <is>
          <t>W2V</t>
        </is>
      </c>
      <c r="C1956" t="inlineStr">
        <is>
          <t>Way 2 Vat Ltd</t>
        </is>
      </c>
      <c r="D1956" t="inlineStr">
        <is>
          <t>AUD</t>
        </is>
      </c>
      <c r="E1956" t="inlineStr">
        <is>
          <t>ASX</t>
        </is>
      </c>
    </row>
    <row r="1957">
      <c r="B1957" t="inlineStr">
        <is>
          <t>EV1</t>
        </is>
      </c>
      <c r="C1957" t="inlineStr">
        <is>
          <t>Evolution Energy Minerals Ltd</t>
        </is>
      </c>
      <c r="D1957" t="inlineStr">
        <is>
          <t>AUD</t>
        </is>
      </c>
      <c r="E1957" t="inlineStr">
        <is>
          <t>ASX</t>
        </is>
      </c>
    </row>
    <row r="1958">
      <c r="B1958" t="inlineStr">
        <is>
          <t>ZLD</t>
        </is>
      </c>
      <c r="C1958" t="inlineStr">
        <is>
          <t>Zelira Therapeutics Ltd</t>
        </is>
      </c>
      <c r="D1958" t="inlineStr">
        <is>
          <t>AUD</t>
        </is>
      </c>
      <c r="E1958" t="inlineStr">
        <is>
          <t>ASX</t>
        </is>
      </c>
    </row>
    <row r="1959">
      <c r="B1959" t="inlineStr">
        <is>
          <t>NES</t>
        </is>
      </c>
      <c r="C1959" t="inlineStr">
        <is>
          <t>Nelson Resources Ltd</t>
        </is>
      </c>
      <c r="D1959" t="inlineStr">
        <is>
          <t>AUD</t>
        </is>
      </c>
      <c r="E1959" t="inlineStr">
        <is>
          <t>ASX</t>
        </is>
      </c>
    </row>
    <row r="1960">
      <c r="B1960" t="inlineStr">
        <is>
          <t>SIT</t>
        </is>
      </c>
      <c r="C1960" t="inlineStr">
        <is>
          <t>Site Group International Ltd</t>
        </is>
      </c>
      <c r="D1960" t="inlineStr">
        <is>
          <t>AUD</t>
        </is>
      </c>
      <c r="E1960" t="inlineStr">
        <is>
          <t>ASX</t>
        </is>
      </c>
    </row>
    <row r="1961">
      <c r="B1961" t="inlineStr">
        <is>
          <t>IUSG</t>
        </is>
      </c>
      <c r="C1961" t="inlineStr">
        <is>
          <t>Ishares U.S. Treasury Bond (Aud Hedged) ETF</t>
        </is>
      </c>
      <c r="D1961" t="inlineStr">
        <is>
          <t>AUD</t>
        </is>
      </c>
      <c r="E1961" t="inlineStr">
        <is>
          <t>ASX</t>
        </is>
      </c>
    </row>
    <row r="1962">
      <c r="B1962" t="inlineStr">
        <is>
          <t>14D</t>
        </is>
      </c>
      <c r="C1962" t="inlineStr">
        <is>
          <t>1414 Degrees Ltd</t>
        </is>
      </c>
      <c r="D1962" t="inlineStr">
        <is>
          <t>AUD</t>
        </is>
      </c>
      <c r="E1962" t="inlineStr">
        <is>
          <t>ASX</t>
        </is>
      </c>
    </row>
    <row r="1963">
      <c r="B1963" t="inlineStr">
        <is>
          <t>AUA</t>
        </is>
      </c>
      <c r="C1963" t="inlineStr">
        <is>
          <t>Audeara Ltd</t>
        </is>
      </c>
      <c r="D1963" t="inlineStr">
        <is>
          <t>AUD</t>
        </is>
      </c>
      <c r="E1963" t="inlineStr">
        <is>
          <t>ASX</t>
        </is>
      </c>
    </row>
    <row r="1964">
      <c r="B1964" t="inlineStr">
        <is>
          <t>LAT</t>
        </is>
      </c>
      <c r="C1964" t="inlineStr">
        <is>
          <t>Latitude 66 Ltd</t>
        </is>
      </c>
      <c r="D1964" t="inlineStr">
        <is>
          <t>AUD</t>
        </is>
      </c>
      <c r="E1964" t="inlineStr">
        <is>
          <t>ASX</t>
        </is>
      </c>
    </row>
    <row r="1965">
      <c r="B1965" t="inlineStr">
        <is>
          <t>FL1</t>
        </is>
      </c>
      <c r="C1965" t="inlineStr">
        <is>
          <t>First Lithium Ltd</t>
        </is>
      </c>
      <c r="D1965" t="inlineStr">
        <is>
          <t>AUD</t>
        </is>
      </c>
      <c r="E1965" t="inlineStr">
        <is>
          <t>ASX</t>
        </is>
      </c>
    </row>
    <row r="1966">
      <c r="B1966" t="inlineStr">
        <is>
          <t>NAE</t>
        </is>
      </c>
      <c r="C1966" t="inlineStr">
        <is>
          <t>New Age Exploration Ltd</t>
        </is>
      </c>
      <c r="D1966" t="inlineStr">
        <is>
          <t>AUD</t>
        </is>
      </c>
      <c r="E1966" t="inlineStr">
        <is>
          <t>ASX</t>
        </is>
      </c>
    </row>
    <row r="1967">
      <c r="B1967" t="inlineStr">
        <is>
          <t>MOZ</t>
        </is>
      </c>
      <c r="C1967" t="inlineStr">
        <is>
          <t>Mosaic Brands Ltd</t>
        </is>
      </c>
      <c r="D1967" t="inlineStr">
        <is>
          <t>AUD</t>
        </is>
      </c>
      <c r="E1967" t="inlineStr">
        <is>
          <t>ASX</t>
        </is>
      </c>
    </row>
    <row r="1968">
      <c r="B1968" t="inlineStr">
        <is>
          <t>RNX</t>
        </is>
      </c>
      <c r="C1968" t="inlineStr">
        <is>
          <t>Renegade Exploration Ltd</t>
        </is>
      </c>
      <c r="D1968" t="inlineStr">
        <is>
          <t>AUD</t>
        </is>
      </c>
      <c r="E1968" t="inlineStr">
        <is>
          <t>ASX</t>
        </is>
      </c>
    </row>
    <row r="1969">
      <c r="B1969" t="inlineStr">
        <is>
          <t>DM1</t>
        </is>
      </c>
      <c r="C1969" t="inlineStr">
        <is>
          <t>Desert Metals Ltd</t>
        </is>
      </c>
      <c r="D1969" t="inlineStr">
        <is>
          <t>AUD</t>
        </is>
      </c>
      <c r="E1969" t="inlineStr">
        <is>
          <t>ASX</t>
        </is>
      </c>
    </row>
    <row r="1970">
      <c r="B1970" t="inlineStr">
        <is>
          <t>OCT</t>
        </is>
      </c>
      <c r="C1970" t="inlineStr">
        <is>
          <t>Octava Minerals Ltd</t>
        </is>
      </c>
      <c r="D1970" t="inlineStr">
        <is>
          <t>AUD</t>
        </is>
      </c>
      <c r="E1970" t="inlineStr">
        <is>
          <t>ASX</t>
        </is>
      </c>
    </row>
    <row r="1971">
      <c r="B1971" t="inlineStr">
        <is>
          <t>AM5</t>
        </is>
      </c>
      <c r="C1971" t="inlineStr">
        <is>
          <t>Antares Metals Ltd</t>
        </is>
      </c>
      <c r="D1971" t="inlineStr">
        <is>
          <t>AUD</t>
        </is>
      </c>
      <c r="E1971" t="inlineStr">
        <is>
          <t>ASX</t>
        </is>
      </c>
    </row>
    <row r="1972">
      <c r="B1972" t="inlineStr">
        <is>
          <t>PR2</t>
        </is>
      </c>
      <c r="C1972" t="inlineStr">
        <is>
          <t>Piche Resources Ltd</t>
        </is>
      </c>
      <c r="D1972" t="inlineStr">
        <is>
          <t>AUD</t>
        </is>
      </c>
      <c r="E1972" t="inlineStr">
        <is>
          <t>ASX</t>
        </is>
      </c>
    </row>
    <row r="1973">
      <c r="B1973" t="inlineStr">
        <is>
          <t>ECT</t>
        </is>
      </c>
      <c r="C1973" t="inlineStr">
        <is>
          <t>Environmental Clean Technologies Ltd</t>
        </is>
      </c>
      <c r="D1973" t="inlineStr">
        <is>
          <t>AUD</t>
        </is>
      </c>
      <c r="E1973" t="inlineStr">
        <is>
          <t>ASX</t>
        </is>
      </c>
    </row>
    <row r="1974">
      <c r="B1974" t="inlineStr">
        <is>
          <t>LOM</t>
        </is>
      </c>
      <c r="C1974" t="inlineStr">
        <is>
          <t>Lucapa Diamond Company Ltd</t>
        </is>
      </c>
      <c r="D1974" t="inlineStr">
        <is>
          <t>AUD</t>
        </is>
      </c>
      <c r="E1974" t="inlineStr">
        <is>
          <t>ASX</t>
        </is>
      </c>
    </row>
    <row r="1975">
      <c r="B1975" t="inlineStr">
        <is>
          <t>SMX</t>
        </is>
      </c>
      <c r="C1975" t="inlineStr">
        <is>
          <t>Strata Minerals Ltd</t>
        </is>
      </c>
      <c r="D1975" t="inlineStr">
        <is>
          <t>AUD</t>
        </is>
      </c>
      <c r="E1975" t="inlineStr">
        <is>
          <t>ASX</t>
        </is>
      </c>
    </row>
    <row r="1976">
      <c r="B1976" t="inlineStr">
        <is>
          <t>SCP</t>
        </is>
      </c>
      <c r="C1976" t="inlineStr">
        <is>
          <t>Scalare Partners Holdings Ltd</t>
        </is>
      </c>
      <c r="D1976" t="inlineStr">
        <is>
          <t>AUD</t>
        </is>
      </c>
      <c r="E1976" t="inlineStr">
        <is>
          <t>ASX</t>
        </is>
      </c>
    </row>
    <row r="1977">
      <c r="B1977" t="inlineStr">
        <is>
          <t>SSH</t>
        </is>
      </c>
      <c r="C1977" t="inlineStr">
        <is>
          <t>SSH Group Ltd</t>
        </is>
      </c>
      <c r="D1977" t="inlineStr">
        <is>
          <t>AUD</t>
        </is>
      </c>
      <c r="E1977" t="inlineStr">
        <is>
          <t>ASX</t>
        </is>
      </c>
    </row>
    <row r="1978">
      <c r="B1978" t="inlineStr">
        <is>
          <t>RFA</t>
        </is>
      </c>
      <c r="C1978" t="inlineStr">
        <is>
          <t>Rare Foods Australia Ltd</t>
        </is>
      </c>
      <c r="D1978" t="inlineStr">
        <is>
          <t>AUD</t>
        </is>
      </c>
      <c r="E1978" t="inlineStr">
        <is>
          <t>ASX</t>
        </is>
      </c>
    </row>
    <row r="1979">
      <c r="B1979" t="inlineStr">
        <is>
          <t>MTL</t>
        </is>
      </c>
      <c r="C1979" t="inlineStr">
        <is>
          <t>Mantle Minerals Ltd</t>
        </is>
      </c>
      <c r="D1979" t="inlineStr">
        <is>
          <t>AUD</t>
        </is>
      </c>
      <c r="E1979" t="inlineStr">
        <is>
          <t>ASX</t>
        </is>
      </c>
    </row>
    <row r="1980">
      <c r="B1980" t="inlineStr">
        <is>
          <t>EMXC</t>
        </is>
      </c>
      <c r="C1980" t="inlineStr">
        <is>
          <t>Ishares MSCI Emerging Markets Ex China ETF</t>
        </is>
      </c>
      <c r="D1980" t="inlineStr">
        <is>
          <t>AUD</t>
        </is>
      </c>
      <c r="E1980" t="inlineStr">
        <is>
          <t>ASX</t>
        </is>
      </c>
    </row>
    <row r="1981">
      <c r="B1981" t="inlineStr">
        <is>
          <t>SKUK</t>
        </is>
      </c>
      <c r="C1981" t="inlineStr">
        <is>
          <t>HEJAZ Sukuk Active ETF (Managed Fund)</t>
        </is>
      </c>
      <c r="D1981" t="inlineStr">
        <is>
          <t>AUD</t>
        </is>
      </c>
      <c r="E1981" t="inlineStr">
        <is>
          <t>ASX</t>
        </is>
      </c>
    </row>
    <row r="1982">
      <c r="B1982" t="inlineStr">
        <is>
          <t>PAB</t>
        </is>
      </c>
      <c r="C1982" t="inlineStr">
        <is>
          <t>PATRYS Ltd</t>
        </is>
      </c>
      <c r="D1982" t="inlineStr">
        <is>
          <t>AUD</t>
        </is>
      </c>
      <c r="E1982" t="inlineStr">
        <is>
          <t>ASX</t>
        </is>
      </c>
    </row>
    <row r="1983">
      <c r="B1983" t="inlineStr">
        <is>
          <t>LNU</t>
        </is>
      </c>
      <c r="C1983" t="inlineStr">
        <is>
          <t>Linius Technologies Ltd</t>
        </is>
      </c>
      <c r="D1983" t="inlineStr">
        <is>
          <t>AUD</t>
        </is>
      </c>
      <c r="E1983" t="inlineStr">
        <is>
          <t>ASX</t>
        </is>
      </c>
    </row>
    <row r="1984">
      <c r="B1984" t="inlineStr">
        <is>
          <t>GGE</t>
        </is>
      </c>
      <c r="C1984" t="inlineStr">
        <is>
          <t>Grand Gulf Energy Ltd</t>
        </is>
      </c>
      <c r="D1984" t="inlineStr">
        <is>
          <t>AUD</t>
        </is>
      </c>
      <c r="E1984" t="inlineStr">
        <is>
          <t>ASX</t>
        </is>
      </c>
    </row>
    <row r="1985">
      <c r="B1985" t="inlineStr">
        <is>
          <t>RR1</t>
        </is>
      </c>
      <c r="C1985" t="inlineStr">
        <is>
          <t>Reach Resources Ltd</t>
        </is>
      </c>
      <c r="D1985" t="inlineStr">
        <is>
          <t>AUD</t>
        </is>
      </c>
      <c r="E1985" t="inlineStr">
        <is>
          <t>ASX</t>
        </is>
      </c>
    </row>
    <row r="1986">
      <c r="B1986" t="inlineStr">
        <is>
          <t>LNR</t>
        </is>
      </c>
      <c r="C1986" t="inlineStr">
        <is>
          <t>Lanthanein Resources Ltd</t>
        </is>
      </c>
      <c r="D1986" t="inlineStr">
        <is>
          <t>AUD</t>
        </is>
      </c>
      <c r="E1986" t="inlineStr">
        <is>
          <t>ASX</t>
        </is>
      </c>
    </row>
    <row r="1987">
      <c r="B1987" t="inlineStr">
        <is>
          <t>CGR</t>
        </is>
      </c>
      <c r="C1987" t="inlineStr">
        <is>
          <t>CGN Resources Ltd</t>
        </is>
      </c>
      <c r="D1987" t="inlineStr">
        <is>
          <t>AUD</t>
        </is>
      </c>
      <c r="E1987" t="inlineStr">
        <is>
          <t>ASX</t>
        </is>
      </c>
    </row>
    <row r="1988">
      <c r="B1988" t="inlineStr">
        <is>
          <t>PPY</t>
        </is>
      </c>
      <c r="C1988" t="inlineStr">
        <is>
          <t>Papyrus Australia Ltd</t>
        </is>
      </c>
      <c r="D1988" t="inlineStr">
        <is>
          <t>AUD</t>
        </is>
      </c>
      <c r="E1988" t="inlineStr">
        <is>
          <t>ASX</t>
        </is>
      </c>
    </row>
    <row r="1989">
      <c r="B1989" t="inlineStr">
        <is>
          <t>HHIF</t>
        </is>
      </c>
      <c r="C1989" t="inlineStr">
        <is>
          <t>HEJAZ High Innovation Active ETF</t>
        </is>
      </c>
      <c r="D1989" t="inlineStr">
        <is>
          <t>AUD</t>
        </is>
      </c>
      <c r="E1989" t="inlineStr">
        <is>
          <t>ASX</t>
        </is>
      </c>
    </row>
    <row r="1990">
      <c r="B1990" t="inlineStr">
        <is>
          <t>MGA</t>
        </is>
      </c>
      <c r="C1990" t="inlineStr">
        <is>
          <t>Metalsgrove Mining Ltd</t>
        </is>
      </c>
      <c r="D1990" t="inlineStr">
        <is>
          <t>AUD</t>
        </is>
      </c>
      <c r="E1990" t="inlineStr">
        <is>
          <t>ASX</t>
        </is>
      </c>
    </row>
    <row r="1991">
      <c r="B1991" t="inlineStr">
        <is>
          <t>ITEK</t>
        </is>
      </c>
      <c r="C1991" t="inlineStr">
        <is>
          <t>Ishares Future Tech Innovators ETF</t>
        </is>
      </c>
      <c r="D1991" t="inlineStr">
        <is>
          <t>AUD</t>
        </is>
      </c>
      <c r="E1991" t="inlineStr">
        <is>
          <t>ASX</t>
        </is>
      </c>
    </row>
    <row r="1992">
      <c r="B1992" t="inlineStr">
        <is>
          <t>BGE</t>
        </is>
      </c>
      <c r="C1992" t="inlineStr">
        <is>
          <t>Bridge Saas Ltd</t>
        </is>
      </c>
      <c r="D1992" t="inlineStr">
        <is>
          <t>AUD</t>
        </is>
      </c>
      <c r="E1992" t="inlineStr">
        <is>
          <t>ASX</t>
        </is>
      </c>
    </row>
    <row r="1993">
      <c r="B1993" t="inlineStr">
        <is>
          <t>BFC</t>
        </is>
      </c>
      <c r="C1993" t="inlineStr">
        <is>
          <t>Beston Global Food Company Ltd</t>
        </is>
      </c>
      <c r="D1993" t="inlineStr">
        <is>
          <t>AUD</t>
        </is>
      </c>
      <c r="E1993" t="inlineStr">
        <is>
          <t>ASX</t>
        </is>
      </c>
    </row>
    <row r="1994">
      <c r="B1994" t="inlineStr">
        <is>
          <t>DTM</t>
        </is>
      </c>
      <c r="C1994" t="inlineStr">
        <is>
          <t>Dart Mining NL</t>
        </is>
      </c>
      <c r="D1994" t="inlineStr">
        <is>
          <t>AUD</t>
        </is>
      </c>
      <c r="E1994" t="inlineStr">
        <is>
          <t>ASX</t>
        </is>
      </c>
    </row>
    <row r="1995">
      <c r="B1995" t="inlineStr">
        <is>
          <t>REM</t>
        </is>
      </c>
      <c r="C1995" t="inlineStr">
        <is>
          <t>Remsense Technologies Ltd</t>
        </is>
      </c>
      <c r="D1995" t="inlineStr">
        <is>
          <t>AUD</t>
        </is>
      </c>
      <c r="E1995" t="inlineStr">
        <is>
          <t>ASX</t>
        </is>
      </c>
    </row>
    <row r="1996">
      <c r="B1996" t="inlineStr">
        <is>
          <t>PAT</t>
        </is>
      </c>
      <c r="C1996" t="inlineStr">
        <is>
          <t>Patriot Lithium Ltd</t>
        </is>
      </c>
      <c r="D1996" t="inlineStr">
        <is>
          <t>AUD</t>
        </is>
      </c>
      <c r="E1996" t="inlineStr">
        <is>
          <t>ASX</t>
        </is>
      </c>
    </row>
    <row r="1997">
      <c r="B1997" t="inlineStr">
        <is>
          <t>NRZ</t>
        </is>
      </c>
      <c r="C1997" t="inlineStr">
        <is>
          <t>Neurizer Ltd</t>
        </is>
      </c>
      <c r="D1997" t="inlineStr">
        <is>
          <t>AUD</t>
        </is>
      </c>
      <c r="E1997" t="inlineStr">
        <is>
          <t>ASX</t>
        </is>
      </c>
    </row>
    <row r="1998">
      <c r="B1998" t="inlineStr">
        <is>
          <t>HAL</t>
        </is>
      </c>
      <c r="C1998" t="inlineStr">
        <is>
          <t>Halo Technologies Holdings Ltd</t>
        </is>
      </c>
      <c r="D1998" t="inlineStr">
        <is>
          <t>AUD</t>
        </is>
      </c>
      <c r="E1998" t="inlineStr">
        <is>
          <t>ASX</t>
        </is>
      </c>
    </row>
    <row r="1999">
      <c r="B1999" t="inlineStr">
        <is>
          <t>OZM</t>
        </is>
      </c>
      <c r="C1999" t="inlineStr">
        <is>
          <t>Ozaurum Resources Ltd</t>
        </is>
      </c>
      <c r="D1999" t="inlineStr">
        <is>
          <t>AUD</t>
        </is>
      </c>
      <c r="E1999" t="inlineStr">
        <is>
          <t>ASX</t>
        </is>
      </c>
    </row>
    <row r="2000">
      <c r="B2000" t="inlineStr">
        <is>
          <t>KTA</t>
        </is>
      </c>
      <c r="C2000" t="inlineStr">
        <is>
          <t>Krakatoa Resources Ltd</t>
        </is>
      </c>
      <c r="D2000" t="inlineStr">
        <is>
          <t>AUD</t>
        </is>
      </c>
      <c r="E2000" t="inlineStr">
        <is>
          <t>ASX</t>
        </is>
      </c>
    </row>
    <row r="2001">
      <c r="B2001" t="inlineStr">
        <is>
          <t>ALV</t>
        </is>
      </c>
      <c r="C2001" t="inlineStr">
        <is>
          <t>Alvo Minerals Ltd</t>
        </is>
      </c>
      <c r="D2001" t="inlineStr">
        <is>
          <t>AUD</t>
        </is>
      </c>
      <c r="E2001" t="inlineStr">
        <is>
          <t>ASX</t>
        </is>
      </c>
    </row>
    <row r="2002">
      <c r="B2002" t="inlineStr">
        <is>
          <t>MEL</t>
        </is>
      </c>
      <c r="C2002" t="inlineStr">
        <is>
          <t>Metgasco Ltd</t>
        </is>
      </c>
      <c r="D2002" t="inlineStr">
        <is>
          <t>AUD</t>
        </is>
      </c>
      <c r="E2002" t="inlineStr">
        <is>
          <t>ASX</t>
        </is>
      </c>
    </row>
    <row r="2003">
      <c r="B2003" t="inlineStr">
        <is>
          <t>HRE</t>
        </is>
      </c>
      <c r="C2003" t="inlineStr">
        <is>
          <t>Heavy Rare EARTHS Ltd</t>
        </is>
      </c>
      <c r="D2003" t="inlineStr">
        <is>
          <t>AUD</t>
        </is>
      </c>
      <c r="E2003" t="inlineStr">
        <is>
          <t>ASX</t>
        </is>
      </c>
    </row>
    <row r="2004">
      <c r="B2004" t="inlineStr">
        <is>
          <t>FFF</t>
        </is>
      </c>
      <c r="C2004" t="inlineStr">
        <is>
          <t>Forbidden Foods Ltd</t>
        </is>
      </c>
      <c r="D2004" t="inlineStr">
        <is>
          <t>AUD</t>
        </is>
      </c>
      <c r="E2004" t="inlineStr">
        <is>
          <t>ASX</t>
        </is>
      </c>
    </row>
    <row r="2005">
      <c r="B2005" t="inlineStr">
        <is>
          <t>LVE</t>
        </is>
      </c>
      <c r="C2005" t="inlineStr">
        <is>
          <t>Love Group Global Ltd</t>
        </is>
      </c>
      <c r="D2005" t="inlineStr">
        <is>
          <t>AUD</t>
        </is>
      </c>
      <c r="E2005" t="inlineStr">
        <is>
          <t>ASX</t>
        </is>
      </c>
    </row>
    <row r="2006">
      <c r="B2006" t="inlineStr">
        <is>
          <t>GTG</t>
        </is>
      </c>
      <c r="C2006" t="inlineStr">
        <is>
          <t>Genetic Technologies Ltd</t>
        </is>
      </c>
      <c r="D2006" t="inlineStr">
        <is>
          <t>AUD</t>
        </is>
      </c>
      <c r="E2006" t="inlineStr">
        <is>
          <t>ASX</t>
        </is>
      </c>
    </row>
    <row r="2007">
      <c r="B2007" t="inlineStr">
        <is>
          <t>ZMI</t>
        </is>
      </c>
      <c r="C2007" t="inlineStr">
        <is>
          <t>ZINC of Ireland NL</t>
        </is>
      </c>
      <c r="D2007" t="inlineStr">
        <is>
          <t>AUD</t>
        </is>
      </c>
      <c r="E2007" t="inlineStr">
        <is>
          <t>ASX</t>
        </is>
      </c>
    </row>
    <row r="2008">
      <c r="B2008" t="inlineStr">
        <is>
          <t>BGT</t>
        </is>
      </c>
      <c r="C2008" t="inlineStr">
        <is>
          <t>Bio-Gene Technology Ltd</t>
        </is>
      </c>
      <c r="D2008" t="inlineStr">
        <is>
          <t>AUD</t>
        </is>
      </c>
      <c r="E2008" t="inlineStr">
        <is>
          <t>ASX</t>
        </is>
      </c>
    </row>
    <row r="2009">
      <c r="B2009" t="inlineStr">
        <is>
          <t>LM1</t>
        </is>
      </c>
      <c r="C2009" t="inlineStr">
        <is>
          <t>Leeuwin Metals Ltd</t>
        </is>
      </c>
      <c r="D2009" t="inlineStr">
        <is>
          <t>AUD</t>
        </is>
      </c>
      <c r="E2009" t="inlineStr">
        <is>
          <t>ASX</t>
        </is>
      </c>
    </row>
    <row r="2010">
      <c r="B2010" t="inlineStr">
        <is>
          <t>BCC</t>
        </is>
      </c>
      <c r="C2010" t="inlineStr">
        <is>
          <t>Beam Communications Holdings Ltd</t>
        </is>
      </c>
      <c r="D2010" t="inlineStr">
        <is>
          <t>AUD</t>
        </is>
      </c>
      <c r="E2010" t="inlineStr">
        <is>
          <t>ASX</t>
        </is>
      </c>
    </row>
    <row r="2011">
      <c r="B2011" t="inlineStr">
        <is>
          <t>IXC</t>
        </is>
      </c>
      <c r="C2011" t="inlineStr">
        <is>
          <t>INVEX Therapeutics Ltd</t>
        </is>
      </c>
      <c r="D2011" t="inlineStr">
        <is>
          <t>AUD</t>
        </is>
      </c>
      <c r="E2011" t="inlineStr">
        <is>
          <t>ASX</t>
        </is>
      </c>
    </row>
    <row r="2012">
      <c r="B2012" t="inlineStr">
        <is>
          <t>HVLU</t>
        </is>
      </c>
      <c r="C2012" t="inlineStr">
        <is>
          <t>Vaneck MSCI International Value (Aud Hedged) ETF</t>
        </is>
      </c>
      <c r="D2012" t="inlineStr">
        <is>
          <t>AUD</t>
        </is>
      </c>
      <c r="E2012" t="inlineStr">
        <is>
          <t>ASX</t>
        </is>
      </c>
    </row>
    <row r="2013">
      <c r="B2013" t="inlineStr">
        <is>
          <t>NSB</t>
        </is>
      </c>
      <c r="C2013" t="inlineStr">
        <is>
          <t>Neuroscientific Biopharmaceuticals Ltd</t>
        </is>
      </c>
      <c r="D2013" t="inlineStr">
        <is>
          <t>AUD</t>
        </is>
      </c>
      <c r="E2013" t="inlineStr">
        <is>
          <t>ASX</t>
        </is>
      </c>
    </row>
    <row r="2014">
      <c r="B2014" t="inlineStr">
        <is>
          <t>AML</t>
        </is>
      </c>
      <c r="C2014" t="inlineStr">
        <is>
          <t>Aeon Metals Ltd</t>
        </is>
      </c>
      <c r="D2014" t="inlineStr">
        <is>
          <t>AUD</t>
        </is>
      </c>
      <c r="E2014" t="inlineStr">
        <is>
          <t>ASX</t>
        </is>
      </c>
    </row>
    <row r="2015">
      <c r="B2015" t="inlineStr">
        <is>
          <t>NPM</t>
        </is>
      </c>
      <c r="C2015" t="inlineStr">
        <is>
          <t>Newpeak Metals Ltd</t>
        </is>
      </c>
      <c r="D2015" t="inlineStr">
        <is>
          <t>AUD</t>
        </is>
      </c>
      <c r="E2015" t="inlineStr">
        <is>
          <t>ASX</t>
        </is>
      </c>
    </row>
    <row r="2016">
      <c r="B2016" t="inlineStr">
        <is>
          <t>PSL</t>
        </is>
      </c>
      <c r="C2016" t="inlineStr">
        <is>
          <t>Paterson Resources Ltd</t>
        </is>
      </c>
      <c r="D2016" t="inlineStr">
        <is>
          <t>AUD</t>
        </is>
      </c>
      <c r="E2016" t="inlineStr">
        <is>
          <t>ASX</t>
        </is>
      </c>
    </row>
    <row r="2017">
      <c r="B2017" t="inlineStr">
        <is>
          <t>MEG</t>
        </is>
      </c>
      <c r="C2017" t="inlineStr">
        <is>
          <t>Megado Minerals Ltd</t>
        </is>
      </c>
      <c r="D2017" t="inlineStr">
        <is>
          <t>AUD</t>
        </is>
      </c>
      <c r="E2017" t="inlineStr">
        <is>
          <t>ASX</t>
        </is>
      </c>
    </row>
    <row r="2018">
      <c r="B2018" t="inlineStr">
        <is>
          <t>NSM</t>
        </is>
      </c>
      <c r="C2018" t="inlineStr">
        <is>
          <t>North Stawell Minerals Ltd</t>
        </is>
      </c>
      <c r="D2018" t="inlineStr">
        <is>
          <t>AUD</t>
        </is>
      </c>
      <c r="E2018" t="inlineStr">
        <is>
          <t>ASX</t>
        </is>
      </c>
    </row>
    <row r="2019">
      <c r="B2019" t="inlineStr">
        <is>
          <t>BPM</t>
        </is>
      </c>
      <c r="C2019" t="inlineStr">
        <is>
          <t>BPM Minerals Ltd</t>
        </is>
      </c>
      <c r="D2019" t="inlineStr">
        <is>
          <t>AUD</t>
        </is>
      </c>
      <c r="E2019" t="inlineStr">
        <is>
          <t>ASX</t>
        </is>
      </c>
    </row>
    <row r="2020">
      <c r="B2020" t="inlineStr">
        <is>
          <t>NGS</t>
        </is>
      </c>
      <c r="C2020" t="inlineStr">
        <is>
          <t>Nutritional Growth Solutions Ltd</t>
        </is>
      </c>
      <c r="D2020" t="inlineStr">
        <is>
          <t>AUD</t>
        </is>
      </c>
      <c r="E2020" t="inlineStr">
        <is>
          <t>ASX</t>
        </is>
      </c>
    </row>
    <row r="2021">
      <c r="B2021" t="inlineStr">
        <is>
          <t>GC1PA</t>
        </is>
      </c>
      <c r="C2021" t="inlineStr">
        <is>
          <t>Glennon Small Companies Ltd</t>
        </is>
      </c>
      <c r="D2021" t="inlineStr">
        <is>
          <t>AUD</t>
        </is>
      </c>
      <c r="E2021" t="inlineStr">
        <is>
          <t>ASX</t>
        </is>
      </c>
    </row>
    <row r="2022">
      <c r="B2022" t="inlineStr">
        <is>
          <t>MHC</t>
        </is>
      </c>
      <c r="C2022" t="inlineStr">
        <is>
          <t>Manhattan Corporation Ltd</t>
        </is>
      </c>
      <c r="D2022" t="inlineStr">
        <is>
          <t>AUD</t>
        </is>
      </c>
      <c r="E2022" t="inlineStr">
        <is>
          <t>ASX</t>
        </is>
      </c>
    </row>
    <row r="2023">
      <c r="B2023" t="inlineStr">
        <is>
          <t>TG1</t>
        </is>
      </c>
      <c r="C2023" t="inlineStr">
        <is>
          <t>Techgen Metals Ltd</t>
        </is>
      </c>
      <c r="D2023" t="inlineStr">
        <is>
          <t>AUD</t>
        </is>
      </c>
      <c r="E2023" t="inlineStr">
        <is>
          <t>ASX</t>
        </is>
      </c>
    </row>
    <row r="2024">
      <c r="B2024" t="inlineStr">
        <is>
          <t>EMU</t>
        </is>
      </c>
      <c r="C2024" t="inlineStr">
        <is>
          <t>EMU NL</t>
        </is>
      </c>
      <c r="D2024" t="inlineStr">
        <is>
          <t>AUD</t>
        </is>
      </c>
      <c r="E2024" t="inlineStr">
        <is>
          <t>ASX</t>
        </is>
      </c>
    </row>
    <row r="2025">
      <c r="B2025" t="inlineStr">
        <is>
          <t>DTI</t>
        </is>
      </c>
      <c r="C2025" t="inlineStr">
        <is>
          <t>DTI Group Ltd</t>
        </is>
      </c>
      <c r="D2025" t="inlineStr">
        <is>
          <t>AUD</t>
        </is>
      </c>
      <c r="E2025" t="inlineStr">
        <is>
          <t>ASX</t>
        </is>
      </c>
    </row>
    <row r="2026">
      <c r="B2026" t="inlineStr">
        <is>
          <t>ADS</t>
        </is>
      </c>
      <c r="C2026" t="inlineStr">
        <is>
          <t>Adslot Ltd</t>
        </is>
      </c>
      <c r="D2026" t="inlineStr">
        <is>
          <t>AUD</t>
        </is>
      </c>
      <c r="E2026" t="inlineStr">
        <is>
          <t>ASX</t>
        </is>
      </c>
    </row>
    <row r="2027">
      <c r="B2027" t="inlineStr">
        <is>
          <t>IRX</t>
        </is>
      </c>
      <c r="C2027" t="inlineStr">
        <is>
          <t>Inhalerx Ltd</t>
        </is>
      </c>
      <c r="D2027" t="inlineStr">
        <is>
          <t>AUD</t>
        </is>
      </c>
      <c r="E2027" t="inlineStr">
        <is>
          <t>ASX</t>
        </is>
      </c>
    </row>
    <row r="2028">
      <c r="B2028" t="inlineStr">
        <is>
          <t>HJHI</t>
        </is>
      </c>
      <c r="C2028" t="inlineStr">
        <is>
          <t>HEJAZ High Income Active ETF</t>
        </is>
      </c>
      <c r="D2028" t="inlineStr">
        <is>
          <t>AUD</t>
        </is>
      </c>
      <c r="E2028" t="inlineStr">
        <is>
          <t>ASX</t>
        </is>
      </c>
    </row>
    <row r="2029">
      <c r="B2029" t="inlineStr">
        <is>
          <t>CMB</t>
        </is>
      </c>
      <c r="C2029" t="inlineStr">
        <is>
          <t>Cambium Bio Ltd</t>
        </is>
      </c>
      <c r="D2029" t="inlineStr">
        <is>
          <t>AUD</t>
        </is>
      </c>
      <c r="E2029" t="inlineStr">
        <is>
          <t>ASX</t>
        </is>
      </c>
    </row>
    <row r="2030">
      <c r="B2030" t="inlineStr">
        <is>
          <t>EE1</t>
        </is>
      </c>
      <c r="C2030" t="inlineStr">
        <is>
          <t>EARTHS Energy Ltd</t>
        </is>
      </c>
      <c r="D2030" t="inlineStr">
        <is>
          <t>AUD</t>
        </is>
      </c>
      <c r="E2030" t="inlineStr">
        <is>
          <t>ASX</t>
        </is>
      </c>
    </row>
    <row r="2031">
      <c r="B2031" t="inlineStr">
        <is>
          <t>EVE</t>
        </is>
      </c>
      <c r="C2031" t="inlineStr">
        <is>
          <t>EVE Health Group Ltd</t>
        </is>
      </c>
      <c r="D2031" t="inlineStr">
        <is>
          <t>AUD</t>
        </is>
      </c>
      <c r="E2031" t="inlineStr">
        <is>
          <t>ASX</t>
        </is>
      </c>
    </row>
    <row r="2032">
      <c r="B2032" t="inlineStr">
        <is>
          <t>FNR</t>
        </is>
      </c>
      <c r="C2032" t="inlineStr">
        <is>
          <t>Far Northern Resources Ltd</t>
        </is>
      </c>
      <c r="D2032" t="inlineStr">
        <is>
          <t>AUD</t>
        </is>
      </c>
      <c r="E2032" t="inlineStr">
        <is>
          <t>ASX</t>
        </is>
      </c>
    </row>
    <row r="2033">
      <c r="B2033" t="inlineStr">
        <is>
          <t>AUG</t>
        </is>
      </c>
      <c r="C2033" t="inlineStr">
        <is>
          <t>Augustus Minerals Ltd</t>
        </is>
      </c>
      <c r="D2033" t="inlineStr">
        <is>
          <t>AUD</t>
        </is>
      </c>
      <c r="E2033" t="inlineStr">
        <is>
          <t>ASX</t>
        </is>
      </c>
    </row>
    <row r="2034">
      <c r="B2034" t="inlineStr">
        <is>
          <t>HWK</t>
        </is>
      </c>
      <c r="C2034" t="inlineStr">
        <is>
          <t>Hawk Resources Ltd</t>
        </is>
      </c>
      <c r="D2034" t="inlineStr">
        <is>
          <t>AUD</t>
        </is>
      </c>
      <c r="E2034" t="inlineStr">
        <is>
          <t>ASX</t>
        </is>
      </c>
    </row>
    <row r="2035">
      <c r="B2035" t="inlineStr">
        <is>
          <t>JNO</t>
        </is>
      </c>
      <c r="C2035" t="inlineStr">
        <is>
          <t>Juno Minerals Ltd</t>
        </is>
      </c>
      <c r="D2035" t="inlineStr">
        <is>
          <t>AUD</t>
        </is>
      </c>
      <c r="E2035" t="inlineStr">
        <is>
          <t>ASX</t>
        </is>
      </c>
    </row>
    <row r="2036">
      <c r="B2036" t="inlineStr">
        <is>
          <t>ICN</t>
        </is>
      </c>
      <c r="C2036" t="inlineStr">
        <is>
          <t>Icon Energy Ltd</t>
        </is>
      </c>
      <c r="D2036" t="inlineStr">
        <is>
          <t>AUD</t>
        </is>
      </c>
      <c r="E2036" t="inlineStr">
        <is>
          <t>ASX</t>
        </is>
      </c>
    </row>
    <row r="2037">
      <c r="B2037" t="inlineStr">
        <is>
          <t>RC1</t>
        </is>
      </c>
      <c r="C2037" t="inlineStr">
        <is>
          <t>Redcastle Resources Ltd</t>
        </is>
      </c>
      <c r="D2037" t="inlineStr">
        <is>
          <t>AUD</t>
        </is>
      </c>
      <c r="E2037" t="inlineStr">
        <is>
          <t>ASX</t>
        </is>
      </c>
    </row>
    <row r="2038">
      <c r="B2038" t="inlineStr">
        <is>
          <t>M2M</t>
        </is>
      </c>
      <c r="C2038" t="inlineStr">
        <is>
          <t>MT Malcolm Mines NL</t>
        </is>
      </c>
      <c r="D2038" t="inlineStr">
        <is>
          <t>AUD</t>
        </is>
      </c>
      <c r="E2038" t="inlineStr">
        <is>
          <t>ASX</t>
        </is>
      </c>
    </row>
    <row r="2039">
      <c r="B2039" t="inlineStr">
        <is>
          <t>IEQ</t>
        </is>
      </c>
      <c r="C2039" t="inlineStr">
        <is>
          <t>International Equities Corporation Ltd</t>
        </is>
      </c>
      <c r="D2039" t="inlineStr">
        <is>
          <t>AUD</t>
        </is>
      </c>
      <c r="E2039" t="inlineStr">
        <is>
          <t>ASX</t>
        </is>
      </c>
    </row>
    <row r="2040">
      <c r="B2040" t="inlineStr">
        <is>
          <t>OZZ</t>
        </is>
      </c>
      <c r="C2040" t="inlineStr">
        <is>
          <t>OZZ Resources Ltd</t>
        </is>
      </c>
      <c r="D2040" t="inlineStr">
        <is>
          <t>AUD</t>
        </is>
      </c>
      <c r="E2040" t="inlineStr">
        <is>
          <t>ASX</t>
        </is>
      </c>
    </row>
    <row r="2041">
      <c r="B2041" t="inlineStr">
        <is>
          <t>CAZ</t>
        </is>
      </c>
      <c r="C2041" t="inlineStr">
        <is>
          <t>Cazaly Resources Ltd</t>
        </is>
      </c>
      <c r="D2041" t="inlineStr">
        <is>
          <t>AUD</t>
        </is>
      </c>
      <c r="E2041" t="inlineStr">
        <is>
          <t>ASX</t>
        </is>
      </c>
    </row>
    <row r="2042">
      <c r="B2042" t="inlineStr">
        <is>
          <t>PR1</t>
        </is>
      </c>
      <c r="C2042" t="inlineStr">
        <is>
          <t>Pure Resources Ltd</t>
        </is>
      </c>
      <c r="D2042" t="inlineStr">
        <is>
          <t>AUD</t>
        </is>
      </c>
      <c r="E2042" t="inlineStr">
        <is>
          <t>ASX</t>
        </is>
      </c>
    </row>
    <row r="2043">
      <c r="B2043" t="inlineStr">
        <is>
          <t>RGL</t>
        </is>
      </c>
      <c r="C2043" t="inlineStr">
        <is>
          <t>Riversgold Ltd</t>
        </is>
      </c>
      <c r="D2043" t="inlineStr">
        <is>
          <t>AUD</t>
        </is>
      </c>
      <c r="E2043" t="inlineStr">
        <is>
          <t>ASX</t>
        </is>
      </c>
    </row>
    <row r="2044">
      <c r="B2044" t="inlineStr">
        <is>
          <t>ZMM</t>
        </is>
      </c>
      <c r="C2044" t="inlineStr">
        <is>
          <t>ZIMI Ltd</t>
        </is>
      </c>
      <c r="D2044" t="inlineStr">
        <is>
          <t>AUD</t>
        </is>
      </c>
      <c r="E2044" t="inlineStr">
        <is>
          <t>ASX</t>
        </is>
      </c>
    </row>
    <row r="2045">
      <c r="B2045" t="inlineStr">
        <is>
          <t>GRL</t>
        </is>
      </c>
      <c r="C2045" t="inlineStr">
        <is>
          <t>Godolphin Resources Ltd</t>
        </is>
      </c>
      <c r="D2045" t="inlineStr">
        <is>
          <t>AUD</t>
        </is>
      </c>
      <c r="E2045" t="inlineStr">
        <is>
          <t>ASX</t>
        </is>
      </c>
    </row>
    <row r="2046">
      <c r="B2046" t="inlineStr">
        <is>
          <t>CAQ</t>
        </is>
      </c>
      <c r="C2046" t="inlineStr">
        <is>
          <t>CAQ Holdings Ltd</t>
        </is>
      </c>
      <c r="D2046" t="inlineStr">
        <is>
          <t>AUD</t>
        </is>
      </c>
      <c r="E2046" t="inlineStr">
        <is>
          <t>ASX</t>
        </is>
      </c>
    </row>
    <row r="2047">
      <c r="B2047" t="inlineStr">
        <is>
          <t>AER</t>
        </is>
      </c>
      <c r="C2047" t="inlineStr">
        <is>
          <t>Aeeris Ltd</t>
        </is>
      </c>
      <c r="D2047" t="inlineStr">
        <is>
          <t>AUD</t>
        </is>
      </c>
      <c r="E2047" t="inlineStr">
        <is>
          <t>ASX</t>
        </is>
      </c>
    </row>
    <row r="2048">
      <c r="B2048" t="inlineStr">
        <is>
          <t>PL3</t>
        </is>
      </c>
      <c r="C2048" t="inlineStr">
        <is>
          <t>Patagonia Lithium Ltd</t>
        </is>
      </c>
      <c r="D2048" t="inlineStr">
        <is>
          <t>AUD</t>
        </is>
      </c>
      <c r="E2048" t="inlineStr">
        <is>
          <t>ASX</t>
        </is>
      </c>
    </row>
    <row r="2049">
      <c r="B2049" t="inlineStr">
        <is>
          <t>ARC</t>
        </is>
      </c>
      <c r="C2049" t="inlineStr">
        <is>
          <t>ARC Funds Ltd</t>
        </is>
      </c>
      <c r="D2049" t="inlineStr">
        <is>
          <t>AUD</t>
        </is>
      </c>
      <c r="E2049" t="inlineStr">
        <is>
          <t>ASX</t>
        </is>
      </c>
    </row>
    <row r="2050">
      <c r="B2050" t="inlineStr">
        <is>
          <t>G88</t>
        </is>
      </c>
      <c r="C2050" t="inlineStr">
        <is>
          <t>Golden Mile Resources Ltd</t>
        </is>
      </c>
      <c r="D2050" t="inlineStr">
        <is>
          <t>AUD</t>
        </is>
      </c>
      <c r="E2050" t="inlineStr">
        <is>
          <t>ASX</t>
        </is>
      </c>
    </row>
    <row r="2051">
      <c r="B2051" t="inlineStr">
        <is>
          <t>CHR</t>
        </is>
      </c>
      <c r="C2051" t="inlineStr">
        <is>
          <t>Charger Metals NL</t>
        </is>
      </c>
      <c r="D2051" t="inlineStr">
        <is>
          <t>AUD</t>
        </is>
      </c>
      <c r="E2051" t="inlineStr">
        <is>
          <t>ASX</t>
        </is>
      </c>
    </row>
    <row r="2052">
      <c r="B2052" t="inlineStr">
        <is>
          <t>ENX</t>
        </is>
      </c>
      <c r="C2052" t="inlineStr">
        <is>
          <t>Enegex Ltd</t>
        </is>
      </c>
      <c r="D2052" t="inlineStr">
        <is>
          <t>AUD</t>
        </is>
      </c>
      <c r="E2052" t="inlineStr">
        <is>
          <t>ASX</t>
        </is>
      </c>
    </row>
    <row r="2053">
      <c r="B2053" t="inlineStr">
        <is>
          <t>BHD</t>
        </is>
      </c>
      <c r="C2053" t="inlineStr">
        <is>
          <t>Benjamin Hornigold Ltd</t>
        </is>
      </c>
      <c r="D2053" t="inlineStr">
        <is>
          <t>AUD</t>
        </is>
      </c>
      <c r="E2053" t="inlineStr">
        <is>
          <t>ASX</t>
        </is>
      </c>
    </row>
    <row r="2054">
      <c r="B2054" t="inlineStr">
        <is>
          <t>SLM</t>
        </is>
      </c>
      <c r="C2054" t="inlineStr">
        <is>
          <t>Solis Minerals Ltd</t>
        </is>
      </c>
      <c r="D2054" t="inlineStr">
        <is>
          <t>AUD</t>
        </is>
      </c>
      <c r="E2054" t="inlineStr">
        <is>
          <t>ASX</t>
        </is>
      </c>
    </row>
    <row r="2055">
      <c r="B2055" t="inlineStr">
        <is>
          <t>M8S</t>
        </is>
      </c>
      <c r="C2055" t="inlineStr">
        <is>
          <t>M8 Sustainable Ltd</t>
        </is>
      </c>
      <c r="D2055" t="inlineStr">
        <is>
          <t>AUD</t>
        </is>
      </c>
      <c r="E2055" t="inlineStr">
        <is>
          <t>ASX</t>
        </is>
      </c>
    </row>
    <row r="2056">
      <c r="B2056" t="inlineStr">
        <is>
          <t>ENV</t>
        </is>
      </c>
      <c r="C2056" t="inlineStr">
        <is>
          <t>Enova Mining Ltd</t>
        </is>
      </c>
      <c r="D2056" t="inlineStr">
        <is>
          <t>AUD</t>
        </is>
      </c>
      <c r="E2056" t="inlineStr">
        <is>
          <t>ASX</t>
        </is>
      </c>
    </row>
    <row r="2057">
      <c r="B2057" t="inlineStr">
        <is>
          <t>UVA</t>
        </is>
      </c>
      <c r="C2057" t="inlineStr">
        <is>
          <t>Uvre Ltd</t>
        </is>
      </c>
      <c r="D2057" t="inlineStr">
        <is>
          <t>AUD</t>
        </is>
      </c>
      <c r="E2057" t="inlineStr">
        <is>
          <t>ASX</t>
        </is>
      </c>
    </row>
    <row r="2058">
      <c r="B2058" t="inlineStr">
        <is>
          <t>SNX</t>
        </is>
      </c>
      <c r="C2058" t="inlineStr">
        <is>
          <t>Sierra Nevada Gold Inc</t>
        </is>
      </c>
      <c r="D2058" t="inlineStr">
        <is>
          <t>AUD</t>
        </is>
      </c>
      <c r="E2058" t="inlineStr">
        <is>
          <t>ASX</t>
        </is>
      </c>
    </row>
    <row r="2059">
      <c r="B2059" t="inlineStr">
        <is>
          <t>R8R</t>
        </is>
      </c>
      <c r="C2059" t="inlineStr">
        <is>
          <t>REGENER8 Resources NL</t>
        </is>
      </c>
      <c r="D2059" t="inlineStr">
        <is>
          <t>AUD</t>
        </is>
      </c>
      <c r="E2059" t="inlineStr">
        <is>
          <t>ASX</t>
        </is>
      </c>
    </row>
    <row r="2060">
      <c r="B2060" t="inlineStr">
        <is>
          <t>NTM</t>
        </is>
      </c>
      <c r="C2060" t="inlineStr">
        <is>
          <t>NT Minerals Ltd</t>
        </is>
      </c>
      <c r="D2060" t="inlineStr">
        <is>
          <t>AUD</t>
        </is>
      </c>
      <c r="E2060" t="inlineStr">
        <is>
          <t>ASX</t>
        </is>
      </c>
    </row>
    <row r="2061">
      <c r="B2061" t="inlineStr">
        <is>
          <t>SFG</t>
        </is>
      </c>
      <c r="C2061" t="inlineStr">
        <is>
          <t>Seafarms Group Ltd</t>
        </is>
      </c>
      <c r="D2061" t="inlineStr">
        <is>
          <t>AUD</t>
        </is>
      </c>
      <c r="E2061" t="inlineStr">
        <is>
          <t>ASX</t>
        </is>
      </c>
    </row>
    <row r="2062">
      <c r="B2062" t="inlineStr">
        <is>
          <t>BIM</t>
        </is>
      </c>
      <c r="C2062" t="inlineStr">
        <is>
          <t>Bindi Metals Ltd</t>
        </is>
      </c>
      <c r="D2062" t="inlineStr">
        <is>
          <t>AUD</t>
        </is>
      </c>
      <c r="E2062" t="inlineStr">
        <is>
          <t>ASX</t>
        </is>
      </c>
    </row>
    <row r="2063">
      <c r="B2063" t="inlineStr">
        <is>
          <t>TAS</t>
        </is>
      </c>
      <c r="C2063" t="inlineStr">
        <is>
          <t>Tasman Resources Ltd</t>
        </is>
      </c>
      <c r="D2063" t="inlineStr">
        <is>
          <t>AUD</t>
        </is>
      </c>
      <c r="E2063" t="inlineStr">
        <is>
          <t>ASX</t>
        </is>
      </c>
    </row>
    <row r="2064">
      <c r="B2064" t="inlineStr">
        <is>
          <t>YOW</t>
        </is>
      </c>
      <c r="C2064" t="inlineStr">
        <is>
          <t>Yowie Group Ltd</t>
        </is>
      </c>
      <c r="D2064" t="inlineStr">
        <is>
          <t>AUD</t>
        </is>
      </c>
      <c r="E2064" t="inlineStr">
        <is>
          <t>ASX</t>
        </is>
      </c>
    </row>
    <row r="2065">
      <c r="B2065" t="inlineStr">
        <is>
          <t>AUH</t>
        </is>
      </c>
      <c r="C2065" t="inlineStr">
        <is>
          <t>Austchina Holdings Ltd</t>
        </is>
      </c>
      <c r="D2065" t="inlineStr">
        <is>
          <t>AUD</t>
        </is>
      </c>
      <c r="E2065" t="inlineStr">
        <is>
          <t>ASX</t>
        </is>
      </c>
    </row>
    <row r="2066">
      <c r="B2066" t="inlineStr">
        <is>
          <t>RB6</t>
        </is>
      </c>
      <c r="C2066" t="inlineStr">
        <is>
          <t>RUBIX Resources Ltd</t>
        </is>
      </c>
      <c r="D2066" t="inlineStr">
        <is>
          <t>AUD</t>
        </is>
      </c>
      <c r="E2066" t="inlineStr">
        <is>
          <t>ASX</t>
        </is>
      </c>
    </row>
    <row r="2067">
      <c r="B2067" t="inlineStr">
        <is>
          <t>SHE</t>
        </is>
      </c>
      <c r="C2067" t="inlineStr">
        <is>
          <t>Stonehorse Energy Ltd</t>
        </is>
      </c>
      <c r="D2067" t="inlineStr">
        <is>
          <t>AUD</t>
        </is>
      </c>
      <c r="E2067" t="inlineStr">
        <is>
          <t>ASX</t>
        </is>
      </c>
    </row>
    <row r="2068">
      <c r="B2068" t="inlineStr">
        <is>
          <t>RLG</t>
        </is>
      </c>
      <c r="C2068" t="inlineStr">
        <is>
          <t>Roolife Group Ltd</t>
        </is>
      </c>
      <c r="D2068" t="inlineStr">
        <is>
          <t>AUD</t>
        </is>
      </c>
      <c r="E2068" t="inlineStr">
        <is>
          <t>ASX</t>
        </is>
      </c>
    </row>
    <row r="2069">
      <c r="B2069" t="inlineStr">
        <is>
          <t>SVG</t>
        </is>
      </c>
      <c r="C2069" t="inlineStr">
        <is>
          <t>Savannah Goldfields Ltd</t>
        </is>
      </c>
      <c r="D2069" t="inlineStr">
        <is>
          <t>AUD</t>
        </is>
      </c>
      <c r="E2069" t="inlineStr">
        <is>
          <t>ASX</t>
        </is>
      </c>
    </row>
    <row r="2070">
      <c r="B2070" t="inlineStr">
        <is>
          <t>HPP</t>
        </is>
      </c>
      <c r="C2070" t="inlineStr">
        <is>
          <t>Health and Plant Protein Group Ltd</t>
        </is>
      </c>
      <c r="D2070" t="inlineStr">
        <is>
          <t>AUD</t>
        </is>
      </c>
      <c r="E2070" t="inlineStr">
        <is>
          <t>ASX</t>
        </is>
      </c>
    </row>
    <row r="2071">
      <c r="B2071" t="inlineStr">
        <is>
          <t>PRX</t>
        </is>
      </c>
      <c r="C2071" t="inlineStr">
        <is>
          <t>Prodigy Gold NL</t>
        </is>
      </c>
      <c r="D2071" t="inlineStr">
        <is>
          <t>AUD</t>
        </is>
      </c>
      <c r="E2071" t="inlineStr">
        <is>
          <t>ASX</t>
        </is>
      </c>
    </row>
    <row r="2072">
      <c r="B2072" t="inlineStr">
        <is>
          <t>GTH</t>
        </is>
      </c>
      <c r="C2072" t="inlineStr">
        <is>
          <t>Gathid Ltd</t>
        </is>
      </c>
      <c r="D2072" t="inlineStr">
        <is>
          <t>AUD</t>
        </is>
      </c>
      <c r="E2072" t="inlineStr">
        <is>
          <t>ASX</t>
        </is>
      </c>
    </row>
    <row r="2073">
      <c r="B2073" t="inlineStr">
        <is>
          <t>FRX</t>
        </is>
      </c>
      <c r="C2073" t="inlineStr">
        <is>
          <t>Flexiroam Ltd</t>
        </is>
      </c>
      <c r="D2073" t="inlineStr">
        <is>
          <t>AUD</t>
        </is>
      </c>
      <c r="E2073" t="inlineStr">
        <is>
          <t>ASX</t>
        </is>
      </c>
    </row>
    <row r="2074">
      <c r="B2074" t="inlineStr">
        <is>
          <t>NFL</t>
        </is>
      </c>
      <c r="C2074" t="inlineStr">
        <is>
          <t>Norfolk Metals Ltd</t>
        </is>
      </c>
      <c r="D2074" t="inlineStr">
        <is>
          <t>AUD</t>
        </is>
      </c>
      <c r="E2074" t="inlineStr">
        <is>
          <t>ASX</t>
        </is>
      </c>
    </row>
    <row r="2075">
      <c r="B2075" t="inlineStr">
        <is>
          <t>BLZ</t>
        </is>
      </c>
      <c r="C2075" t="inlineStr">
        <is>
          <t>BLAZE Minerals Ltd</t>
        </is>
      </c>
      <c r="D2075" t="inlineStr">
        <is>
          <t>AUD</t>
        </is>
      </c>
      <c r="E2075" t="inlineStr">
        <is>
          <t>ASX</t>
        </is>
      </c>
    </row>
    <row r="2076">
      <c r="B2076" t="inlineStr">
        <is>
          <t>RAN</t>
        </is>
      </c>
      <c r="C2076" t="inlineStr">
        <is>
          <t>Range International Ltd</t>
        </is>
      </c>
      <c r="D2076" t="inlineStr">
        <is>
          <t>AUD</t>
        </is>
      </c>
      <c r="E2076" t="inlineStr">
        <is>
          <t>ASX</t>
        </is>
      </c>
    </row>
    <row r="2077">
      <c r="B2077" t="inlineStr">
        <is>
          <t>GR8</t>
        </is>
      </c>
      <c r="C2077" t="inlineStr">
        <is>
          <t>Great Dirt Resources Ltd</t>
        </is>
      </c>
      <c r="D2077" t="inlineStr">
        <is>
          <t>AUD</t>
        </is>
      </c>
      <c r="E2077" t="inlineStr">
        <is>
          <t>ASX</t>
        </is>
      </c>
    </row>
    <row r="2078">
      <c r="B2078" t="inlineStr">
        <is>
          <t>DAF</t>
        </is>
      </c>
      <c r="C2078" t="inlineStr">
        <is>
          <t>Discovery Alaska Ltd</t>
        </is>
      </c>
      <c r="D2078" t="inlineStr">
        <is>
          <t>AUD</t>
        </is>
      </c>
      <c r="E2078" t="inlineStr">
        <is>
          <t>ASX</t>
        </is>
      </c>
    </row>
    <row r="2079">
      <c r="B2079" t="inlineStr">
        <is>
          <t>EG1</t>
        </is>
      </c>
      <c r="C2079" t="inlineStr">
        <is>
          <t>Evergreen Lithium Ltd</t>
        </is>
      </c>
      <c r="D2079" t="inlineStr">
        <is>
          <t>AUD</t>
        </is>
      </c>
      <c r="E2079" t="inlineStr">
        <is>
          <t>ASX</t>
        </is>
      </c>
    </row>
    <row r="2080">
      <c r="B2080" t="inlineStr">
        <is>
          <t>IMI</t>
        </is>
      </c>
      <c r="C2080" t="inlineStr">
        <is>
          <t>Infinity Mining Ltd</t>
        </is>
      </c>
      <c r="D2080" t="inlineStr">
        <is>
          <t>AUD</t>
        </is>
      </c>
      <c r="E2080" t="inlineStr">
        <is>
          <t>ASX</t>
        </is>
      </c>
    </row>
    <row r="2081">
      <c r="B2081" t="inlineStr">
        <is>
          <t>ERG</t>
        </is>
      </c>
      <c r="C2081" t="inlineStr">
        <is>
          <t>Eneco Refresh Ltd</t>
        </is>
      </c>
      <c r="D2081" t="inlineStr">
        <is>
          <t>AUD</t>
        </is>
      </c>
      <c r="E2081" t="inlineStr">
        <is>
          <t>ASX</t>
        </is>
      </c>
    </row>
    <row r="2082">
      <c r="B2082" t="inlineStr">
        <is>
          <t>SP3</t>
        </is>
      </c>
      <c r="C2082" t="inlineStr">
        <is>
          <t>Spectur Ltd</t>
        </is>
      </c>
      <c r="D2082" t="inlineStr">
        <is>
          <t>AUD</t>
        </is>
      </c>
      <c r="E2082" t="inlineStr">
        <is>
          <t>ASX</t>
        </is>
      </c>
    </row>
    <row r="2083">
      <c r="B2083" t="inlineStr">
        <is>
          <t>CPO</t>
        </is>
      </c>
      <c r="C2083" t="inlineStr">
        <is>
          <t>Culpeo Minerals Ltd</t>
        </is>
      </c>
      <c r="D2083" t="inlineStr">
        <is>
          <t>AUD</t>
        </is>
      </c>
      <c r="E2083" t="inlineStr">
        <is>
          <t>ASX</t>
        </is>
      </c>
    </row>
    <row r="2084">
      <c r="B2084" t="inlineStr">
        <is>
          <t>REC</t>
        </is>
      </c>
      <c r="C2084" t="inlineStr">
        <is>
          <t>Recharge Metals Ltd</t>
        </is>
      </c>
      <c r="D2084" t="inlineStr">
        <is>
          <t>AUD</t>
        </is>
      </c>
      <c r="E2084" t="inlineStr">
        <is>
          <t>ASX</t>
        </is>
      </c>
    </row>
    <row r="2085">
      <c r="B2085" t="inlineStr">
        <is>
          <t>DTEC</t>
        </is>
      </c>
      <c r="C2085" t="inlineStr">
        <is>
          <t>Global X Defence Tech ETF</t>
        </is>
      </c>
      <c r="D2085" t="inlineStr">
        <is>
          <t>AUD</t>
        </is>
      </c>
      <c r="E2085" t="inlineStr">
        <is>
          <t>ASX</t>
        </is>
      </c>
    </row>
    <row r="2086">
      <c r="B2086" t="inlineStr">
        <is>
          <t>MHM</t>
        </is>
      </c>
      <c r="C2086" t="inlineStr">
        <is>
          <t>Mount Hope Mining Ltd</t>
        </is>
      </c>
      <c r="D2086" t="inlineStr">
        <is>
          <t>AUD</t>
        </is>
      </c>
      <c r="E2086" t="inlineStr">
        <is>
          <t>ASX</t>
        </is>
      </c>
    </row>
    <row r="2087">
      <c r="B2087" t="inlineStr">
        <is>
          <t>JPHQ</t>
        </is>
      </c>
      <c r="C2087" t="inlineStr">
        <is>
          <t>JPM US100Q EQ Prem Inc H Active ETF (Managed Fund)</t>
        </is>
      </c>
      <c r="D2087" t="inlineStr">
        <is>
          <t>AUD</t>
        </is>
      </c>
      <c r="E2087" t="inlineStr">
        <is>
          <t>ASX</t>
        </is>
      </c>
    </row>
    <row r="2088">
      <c r="B2088" t="inlineStr">
        <is>
          <t>HPC</t>
        </is>
      </c>
      <c r="C2088" t="inlineStr">
        <is>
          <t>The Hydration Pharmaceuticals Company Ltd</t>
        </is>
      </c>
      <c r="D2088" t="inlineStr">
        <is>
          <t>AUD</t>
        </is>
      </c>
      <c r="E2088" t="inlineStr">
        <is>
          <t>ASX</t>
        </is>
      </c>
    </row>
    <row r="2089">
      <c r="B2089" t="inlineStr">
        <is>
          <t>FCAP</t>
        </is>
      </c>
      <c r="C2089" t="inlineStr">
        <is>
          <t>Fidelity Global Future Leaders Active ETF</t>
        </is>
      </c>
      <c r="D2089" t="inlineStr">
        <is>
          <t>AUD</t>
        </is>
      </c>
      <c r="E2089" t="inlineStr">
        <is>
          <t>ASX</t>
        </is>
      </c>
    </row>
    <row r="2090">
      <c r="B2090" t="inlineStr">
        <is>
          <t>FTC</t>
        </is>
      </c>
      <c r="C2090" t="inlineStr">
        <is>
          <t>Fintech Chain Ltd</t>
        </is>
      </c>
      <c r="D2090" t="inlineStr">
        <is>
          <t>AUD</t>
        </is>
      </c>
      <c r="E2090" t="inlineStr">
        <is>
          <t>ASX</t>
        </is>
      </c>
    </row>
    <row r="2091">
      <c r="B2091" t="inlineStr">
        <is>
          <t>OM1</t>
        </is>
      </c>
      <c r="C2091" t="inlineStr">
        <is>
          <t>Omnia Metals Group Ltd</t>
        </is>
      </c>
      <c r="D2091" t="inlineStr">
        <is>
          <t>AUD</t>
        </is>
      </c>
      <c r="E2091" t="inlineStr">
        <is>
          <t>ASX</t>
        </is>
      </c>
    </row>
    <row r="2092">
      <c r="B2092" t="inlineStr">
        <is>
          <t>C1X</t>
        </is>
      </c>
      <c r="C2092" t="inlineStr">
        <is>
          <t>Cosmos Exploration Ltd</t>
        </is>
      </c>
      <c r="D2092" t="inlineStr">
        <is>
          <t>AUD</t>
        </is>
      </c>
      <c r="E2092" t="inlineStr">
        <is>
          <t>ASX</t>
        </is>
      </c>
    </row>
    <row r="2093">
      <c r="B2093" t="inlineStr">
        <is>
          <t>GAME</t>
        </is>
      </c>
      <c r="C2093" t="inlineStr">
        <is>
          <t>Betashares Video Games and Esports ETF</t>
        </is>
      </c>
      <c r="D2093" t="inlineStr">
        <is>
          <t>AUD</t>
        </is>
      </c>
      <c r="E2093" t="inlineStr">
        <is>
          <t>ASX</t>
        </is>
      </c>
    </row>
    <row r="2094">
      <c r="B2094" t="inlineStr">
        <is>
          <t>ICE</t>
        </is>
      </c>
      <c r="C2094" t="inlineStr">
        <is>
          <t>Icetana Ltd</t>
        </is>
      </c>
      <c r="D2094" t="inlineStr">
        <is>
          <t>AUD</t>
        </is>
      </c>
      <c r="E2094" t="inlineStr">
        <is>
          <t>ASX</t>
        </is>
      </c>
    </row>
    <row r="2095">
      <c r="B2095" t="inlineStr">
        <is>
          <t>BUY</t>
        </is>
      </c>
      <c r="C2095" t="inlineStr">
        <is>
          <t>Bounty Oil &amp; Gas NL</t>
        </is>
      </c>
      <c r="D2095" t="inlineStr">
        <is>
          <t>AUD</t>
        </is>
      </c>
      <c r="E2095" t="inlineStr">
        <is>
          <t>ASX</t>
        </is>
      </c>
    </row>
    <row r="2096">
      <c r="B2096" t="inlineStr">
        <is>
          <t>ZEU</t>
        </is>
      </c>
      <c r="C2096" t="inlineStr">
        <is>
          <t>ZEUS Resources Ltd</t>
        </is>
      </c>
      <c r="D2096" t="inlineStr">
        <is>
          <t>AUD</t>
        </is>
      </c>
      <c r="E2096" t="inlineStr">
        <is>
          <t>ASX</t>
        </is>
      </c>
    </row>
    <row r="2097">
      <c r="B2097" t="inlineStr">
        <is>
          <t>JEGA</t>
        </is>
      </c>
      <c r="C2097" t="inlineStr">
        <is>
          <t>JPM Global Equity Premium Income Complex ETF</t>
        </is>
      </c>
      <c r="D2097" t="inlineStr">
        <is>
          <t>AUD</t>
        </is>
      </c>
      <c r="E2097" t="inlineStr">
        <is>
          <t>ASX</t>
        </is>
      </c>
    </row>
    <row r="2098">
      <c r="B2098" t="inlineStr">
        <is>
          <t>DAL</t>
        </is>
      </c>
      <c r="C2098" t="inlineStr">
        <is>
          <t>Dalaroo Metals Ltd</t>
        </is>
      </c>
      <c r="D2098" t="inlineStr">
        <is>
          <t>AUD</t>
        </is>
      </c>
      <c r="E2098" t="inlineStr">
        <is>
          <t>ASX</t>
        </is>
      </c>
    </row>
    <row r="2099">
      <c r="B2099" t="inlineStr">
        <is>
          <t>ERL</t>
        </is>
      </c>
      <c r="C2099" t="inlineStr">
        <is>
          <t>Empire Resources Ltd</t>
        </is>
      </c>
      <c r="D2099" t="inlineStr">
        <is>
          <t>AUD</t>
        </is>
      </c>
      <c r="E2099" t="inlineStr">
        <is>
          <t>ASX</t>
        </is>
      </c>
    </row>
    <row r="2100">
      <c r="B2100" t="inlineStr">
        <is>
          <t>KAL</t>
        </is>
      </c>
      <c r="C2100" t="inlineStr">
        <is>
          <t>Kalgoorlie Gold Mining Ltd</t>
        </is>
      </c>
      <c r="D2100" t="inlineStr">
        <is>
          <t>AUD</t>
        </is>
      </c>
      <c r="E2100" t="inlineStr">
        <is>
          <t>ASX</t>
        </is>
      </c>
    </row>
    <row r="2101">
      <c r="B2101" t="inlineStr">
        <is>
          <t>SER</t>
        </is>
      </c>
      <c r="C2101" t="inlineStr">
        <is>
          <t>Strategic Energy Resources Ltd</t>
        </is>
      </c>
      <c r="D2101" t="inlineStr">
        <is>
          <t>AUD</t>
        </is>
      </c>
      <c r="E2101" t="inlineStr">
        <is>
          <t>ASX</t>
        </is>
      </c>
    </row>
    <row r="2102">
      <c r="B2102" t="inlineStr">
        <is>
          <t>XPN</t>
        </is>
      </c>
      <c r="C2102" t="inlineStr">
        <is>
          <t>Xpon Technologies Group Ltd</t>
        </is>
      </c>
      <c r="D2102" t="inlineStr">
        <is>
          <t>AUD</t>
        </is>
      </c>
      <c r="E2102" t="inlineStr">
        <is>
          <t>ASX</t>
        </is>
      </c>
    </row>
    <row r="2103">
      <c r="B2103" t="inlineStr">
        <is>
          <t>CBY</t>
        </is>
      </c>
      <c r="C2103" t="inlineStr">
        <is>
          <t>Canterbury Resources Ltd</t>
        </is>
      </c>
      <c r="D2103" t="inlineStr">
        <is>
          <t>AUD</t>
        </is>
      </c>
      <c r="E2103" t="inlineStr">
        <is>
          <t>ASX</t>
        </is>
      </c>
    </row>
    <row r="2104">
      <c r="B2104" t="inlineStr">
        <is>
          <t>A8G</t>
        </is>
      </c>
      <c r="C2104" t="inlineStr">
        <is>
          <t>Australasian Metals Ltd</t>
        </is>
      </c>
      <c r="D2104" t="inlineStr">
        <is>
          <t>AUD</t>
        </is>
      </c>
      <c r="E2104" t="inlineStr">
        <is>
          <t>ASX</t>
        </is>
      </c>
    </row>
    <row r="2105">
      <c r="B2105" t="inlineStr">
        <is>
          <t>OB1</t>
        </is>
      </c>
      <c r="C2105" t="inlineStr">
        <is>
          <t>Orbminco Ltd</t>
        </is>
      </c>
      <c r="D2105" t="inlineStr">
        <is>
          <t>AUD</t>
        </is>
      </c>
      <c r="E2105" t="inlineStr">
        <is>
          <t>ASX</t>
        </is>
      </c>
    </row>
    <row r="2106">
      <c r="B2106" t="inlineStr">
        <is>
          <t>OLI</t>
        </is>
      </c>
      <c r="C2106" t="inlineStr">
        <is>
          <t>Oliver's Real Food Ltd</t>
        </is>
      </c>
      <c r="D2106" t="inlineStr">
        <is>
          <t>AUD</t>
        </is>
      </c>
      <c r="E2106" t="inlineStr">
        <is>
          <t>ASX</t>
        </is>
      </c>
    </row>
    <row r="2107">
      <c r="B2107" t="inlineStr">
        <is>
          <t>BMM</t>
        </is>
      </c>
      <c r="C2107" t="inlineStr">
        <is>
          <t>Bayan Mining and Minerals Ltd</t>
        </is>
      </c>
      <c r="D2107" t="inlineStr">
        <is>
          <t>AUD</t>
        </is>
      </c>
      <c r="E2107" t="inlineStr">
        <is>
          <t>ASX</t>
        </is>
      </c>
    </row>
    <row r="2108">
      <c r="B2108" t="inlineStr">
        <is>
          <t>JHPI</t>
        </is>
      </c>
      <c r="C2108" t="inlineStr">
        <is>
          <t>JPM EQTY Prem Inc H Active ETF (Managed Fund)</t>
        </is>
      </c>
      <c r="D2108" t="inlineStr">
        <is>
          <t>AUD</t>
        </is>
      </c>
      <c r="E2108" t="inlineStr">
        <is>
          <t>ASX</t>
        </is>
      </c>
    </row>
    <row r="2109">
      <c r="B2109" t="inlineStr">
        <is>
          <t>BOD</t>
        </is>
      </c>
      <c r="C2109" t="inlineStr">
        <is>
          <t>BOD Science Ltd</t>
        </is>
      </c>
      <c r="D2109" t="inlineStr">
        <is>
          <t>AUD</t>
        </is>
      </c>
      <c r="E2109" t="inlineStr">
        <is>
          <t>ASX</t>
        </is>
      </c>
    </row>
    <row r="2110">
      <c r="B2110" t="inlineStr">
        <is>
          <t>IPB</t>
        </is>
      </c>
      <c r="C2110" t="inlineStr">
        <is>
          <t>IPB Petroleum Ltd</t>
        </is>
      </c>
      <c r="D2110" t="inlineStr">
        <is>
          <t>AUD</t>
        </is>
      </c>
      <c r="E2110" t="inlineStr">
        <is>
          <t>ASX</t>
        </is>
      </c>
    </row>
    <row r="2111">
      <c r="B2111" t="inlineStr">
        <is>
          <t>MML</t>
        </is>
      </c>
      <c r="C2111" t="inlineStr">
        <is>
          <t>Mclaren Minerals Ltd</t>
        </is>
      </c>
      <c r="D2111" t="inlineStr">
        <is>
          <t>AUD</t>
        </is>
      </c>
      <c r="E2111" t="inlineStr">
        <is>
          <t>ASX</t>
        </is>
      </c>
    </row>
    <row r="2112">
      <c r="B2112" t="inlineStr">
        <is>
          <t>SMM</t>
        </is>
      </c>
      <c r="C2112" t="inlineStr">
        <is>
          <t>Somerset Minerals Ltd</t>
        </is>
      </c>
      <c r="D2112" t="inlineStr">
        <is>
          <t>AUD</t>
        </is>
      </c>
      <c r="E2112" t="inlineStr">
        <is>
          <t>ASX</t>
        </is>
      </c>
    </row>
    <row r="2113">
      <c r="B2113" t="inlineStr">
        <is>
          <t>PPG</t>
        </is>
      </c>
      <c r="C2113" t="inlineStr">
        <is>
          <t>Pro-Pac Packaging Ltd</t>
        </is>
      </c>
      <c r="D2113" t="inlineStr">
        <is>
          <t>AUD</t>
        </is>
      </c>
      <c r="E2113" t="inlineStr">
        <is>
          <t>ASX</t>
        </is>
      </c>
    </row>
    <row r="2114">
      <c r="B2114" t="inlineStr">
        <is>
          <t>PHL</t>
        </is>
      </c>
      <c r="C2114" t="inlineStr">
        <is>
          <t>Propell Holdings Ltd</t>
        </is>
      </c>
      <c r="D2114" t="inlineStr">
        <is>
          <t>AUD</t>
        </is>
      </c>
      <c r="E2114" t="inlineStr">
        <is>
          <t>ASX</t>
        </is>
      </c>
    </row>
    <row r="2115">
      <c r="B2115" t="inlineStr">
        <is>
          <t>MQR</t>
        </is>
      </c>
      <c r="C2115" t="inlineStr">
        <is>
          <t>Marquee Resources Ltd</t>
        </is>
      </c>
      <c r="D2115" t="inlineStr">
        <is>
          <t>AUD</t>
        </is>
      </c>
      <c r="E2115" t="inlineStr">
        <is>
          <t>ASX</t>
        </is>
      </c>
    </row>
    <row r="2116">
      <c r="B2116" t="inlineStr">
        <is>
          <t>FHNG</t>
        </is>
      </c>
      <c r="C2116" t="inlineStr">
        <is>
          <t>Global X Fang+ (Currency Hedged) ETF</t>
        </is>
      </c>
      <c r="D2116" t="inlineStr">
        <is>
          <t>AUD</t>
        </is>
      </c>
      <c r="E2116" t="inlineStr">
        <is>
          <t>ASX</t>
        </is>
      </c>
    </row>
    <row r="2117">
      <c r="B2117" t="inlineStr">
        <is>
          <t>FAU</t>
        </is>
      </c>
      <c r="C2117" t="inlineStr">
        <is>
          <t>First Au Ltd</t>
        </is>
      </c>
      <c r="D2117" t="inlineStr">
        <is>
          <t>AUD</t>
        </is>
      </c>
      <c r="E2117" t="inlineStr">
        <is>
          <t>ASX</t>
        </is>
      </c>
    </row>
    <row r="2118">
      <c r="B2118" t="inlineStr">
        <is>
          <t>IFG</t>
        </is>
      </c>
      <c r="C2118" t="inlineStr">
        <is>
          <t>Infocus Group Holdings Ltd</t>
        </is>
      </c>
      <c r="D2118" t="inlineStr">
        <is>
          <t>AUD</t>
        </is>
      </c>
      <c r="E2118" t="inlineStr">
        <is>
          <t>ASX</t>
        </is>
      </c>
    </row>
    <row r="2119">
      <c r="B2119" t="inlineStr">
        <is>
          <t>SBW</t>
        </is>
      </c>
      <c r="C2119" t="inlineStr">
        <is>
          <t>Shekel Brainweigh Ltd</t>
        </is>
      </c>
      <c r="D2119" t="inlineStr">
        <is>
          <t>AUD</t>
        </is>
      </c>
      <c r="E2119" t="inlineStr">
        <is>
          <t>ASX</t>
        </is>
      </c>
    </row>
    <row r="2120">
      <c r="B2120" t="inlineStr">
        <is>
          <t>FIIN</t>
        </is>
      </c>
      <c r="C2120" t="inlineStr">
        <is>
          <t>Fidelity India Active ETF</t>
        </is>
      </c>
      <c r="D2120" t="inlineStr">
        <is>
          <t>AUD</t>
        </is>
      </c>
      <c r="E2120" t="inlineStr">
        <is>
          <t>ASX</t>
        </is>
      </c>
    </row>
    <row r="2121">
      <c r="B2121" t="inlineStr">
        <is>
          <t>VBS</t>
        </is>
      </c>
      <c r="C2121" t="inlineStr">
        <is>
          <t>Vectus Biosystems Ltd</t>
        </is>
      </c>
      <c r="D2121" t="inlineStr">
        <is>
          <t>AUD</t>
        </is>
      </c>
      <c r="E2121" t="inlineStr">
        <is>
          <t>ASX</t>
        </is>
      </c>
    </row>
    <row r="2122">
      <c r="B2122" t="inlineStr">
        <is>
          <t>GGX</t>
        </is>
      </c>
      <c r="C2122" t="inlineStr">
        <is>
          <t>GAS2GRID Ltd</t>
        </is>
      </c>
      <c r="D2122" t="inlineStr">
        <is>
          <t>AUD</t>
        </is>
      </c>
      <c r="E2122" t="inlineStr">
        <is>
          <t>ASX</t>
        </is>
      </c>
    </row>
    <row r="2123">
      <c r="B2123" t="inlineStr">
        <is>
          <t>MOZG</t>
        </is>
      </c>
      <c r="C2123" t="inlineStr">
        <is>
          <t>Mosaic Brands Ltd</t>
        </is>
      </c>
      <c r="D2123" t="inlineStr">
        <is>
          <t>AUD</t>
        </is>
      </c>
      <c r="E2123" t="inlineStr">
        <is>
          <t>ASX</t>
        </is>
      </c>
    </row>
    <row r="2124">
      <c r="B2124" t="inlineStr">
        <is>
          <t>SLB</t>
        </is>
      </c>
      <c r="C2124" t="inlineStr">
        <is>
          <t>Stelar Metals Ltd</t>
        </is>
      </c>
      <c r="D2124" t="inlineStr">
        <is>
          <t>AUD</t>
        </is>
      </c>
      <c r="E2124" t="inlineStr">
        <is>
          <t>ASX</t>
        </is>
      </c>
    </row>
    <row r="2125">
      <c r="B2125" t="inlineStr">
        <is>
          <t>1TT</t>
        </is>
      </c>
      <c r="C2125" t="inlineStr">
        <is>
          <t>Thrive Tribe Technologies Ltd</t>
        </is>
      </c>
      <c r="D2125" t="inlineStr">
        <is>
          <t>AUD</t>
        </is>
      </c>
      <c r="E2125" t="inlineStr">
        <is>
          <t>ASX</t>
        </is>
      </c>
    </row>
    <row r="2126">
      <c r="B2126" t="inlineStr">
        <is>
          <t>AEBD</t>
        </is>
      </c>
      <c r="C2126" t="inlineStr">
        <is>
          <t>Betashares Ethical Australian Composite Bond ETF</t>
        </is>
      </c>
      <c r="D2126" t="inlineStr">
        <is>
          <t>AUD</t>
        </is>
      </c>
      <c r="E2126" t="inlineStr">
        <is>
          <t>ASX</t>
        </is>
      </c>
    </row>
    <row r="2127">
      <c r="B2127" t="inlineStr">
        <is>
          <t>NNG</t>
        </is>
      </c>
      <c r="C2127" t="inlineStr">
        <is>
          <t>Nexion Group Ltd</t>
        </is>
      </c>
      <c r="D2127" t="inlineStr">
        <is>
          <t>AUD</t>
        </is>
      </c>
      <c r="E2127" t="inlineStr">
        <is>
          <t>ASX</t>
        </is>
      </c>
    </row>
    <row r="2128">
      <c r="B2128" t="inlineStr">
        <is>
          <t>SMS</t>
        </is>
      </c>
      <c r="C2128" t="inlineStr">
        <is>
          <t>Star Minerals Ltd</t>
        </is>
      </c>
      <c r="D2128" t="inlineStr">
        <is>
          <t>AUD</t>
        </is>
      </c>
      <c r="E2128" t="inlineStr">
        <is>
          <t>ASX</t>
        </is>
      </c>
    </row>
    <row r="2129">
      <c r="B2129" t="inlineStr">
        <is>
          <t>HAR</t>
        </is>
      </c>
      <c r="C2129" t="inlineStr">
        <is>
          <t>Haranga Resources Ltd</t>
        </is>
      </c>
      <c r="D2129" t="inlineStr">
        <is>
          <t>AUD</t>
        </is>
      </c>
      <c r="E2129" t="inlineStr">
        <is>
          <t>ASX</t>
        </is>
      </c>
    </row>
    <row r="2130">
      <c r="B2130" t="inlineStr">
        <is>
          <t>M24</t>
        </is>
      </c>
      <c r="C2130" t="inlineStr">
        <is>
          <t>Mamba Exploration Ltd</t>
        </is>
      </c>
      <c r="D2130" t="inlineStr">
        <is>
          <t>AUD</t>
        </is>
      </c>
      <c r="E2130" t="inlineStr">
        <is>
          <t>ASX</t>
        </is>
      </c>
    </row>
    <row r="2131">
      <c r="B2131" t="inlineStr">
        <is>
          <t>SRI</t>
        </is>
      </c>
      <c r="C2131" t="inlineStr">
        <is>
          <t>Sipa Resources Ltd</t>
        </is>
      </c>
      <c r="D2131" t="inlineStr">
        <is>
          <t>AUD</t>
        </is>
      </c>
      <c r="E2131" t="inlineStr">
        <is>
          <t>ASX</t>
        </is>
      </c>
    </row>
    <row r="2132">
      <c r="B2132" t="inlineStr">
        <is>
          <t>OSX</t>
        </is>
      </c>
      <c r="C2132" t="inlineStr">
        <is>
          <t>Osteopore Ltd</t>
        </is>
      </c>
      <c r="D2132" t="inlineStr">
        <is>
          <t>AUD</t>
        </is>
      </c>
      <c r="E2132" t="inlineStr">
        <is>
          <t>ASX</t>
        </is>
      </c>
    </row>
    <row r="2133">
      <c r="B2133" t="inlineStr">
        <is>
          <t>AFA</t>
        </is>
      </c>
      <c r="C2133" t="inlineStr">
        <is>
          <t>Asf Group Ltd</t>
        </is>
      </c>
      <c r="D2133" t="inlineStr">
        <is>
          <t>AUD</t>
        </is>
      </c>
      <c r="E2133" t="inlineStr">
        <is>
          <t>ASX</t>
        </is>
      </c>
    </row>
    <row r="2134">
      <c r="B2134" t="inlineStr">
        <is>
          <t>IMLC</t>
        </is>
      </c>
      <c r="C2134" t="inlineStr">
        <is>
          <t>IML Conc Aus Shares Fund (Quoted Managed Fund)</t>
        </is>
      </c>
      <c r="D2134" t="inlineStr">
        <is>
          <t>AUD</t>
        </is>
      </c>
      <c r="E2134" t="inlineStr">
        <is>
          <t>ASX</t>
        </is>
      </c>
    </row>
    <row r="2135">
      <c r="B2135" t="inlineStr">
        <is>
          <t>QXR</t>
        </is>
      </c>
      <c r="C2135" t="inlineStr">
        <is>
          <t>QX Resources Ltd</t>
        </is>
      </c>
      <c r="D2135" t="inlineStr">
        <is>
          <t>AUD</t>
        </is>
      </c>
      <c r="E2135" t="inlineStr">
        <is>
          <t>ASX</t>
        </is>
      </c>
    </row>
    <row r="2136">
      <c r="B2136" t="inlineStr">
        <is>
          <t>EAT</t>
        </is>
      </c>
      <c r="C2136" t="inlineStr">
        <is>
          <t>Entertainment Rewards Ltd</t>
        </is>
      </c>
      <c r="D2136" t="inlineStr">
        <is>
          <t>AUD</t>
        </is>
      </c>
      <c r="E2136" t="inlineStr">
        <is>
          <t>ASX</t>
        </is>
      </c>
    </row>
    <row r="2137">
      <c r="B2137" t="inlineStr">
        <is>
          <t>RMI</t>
        </is>
      </c>
      <c r="C2137" t="inlineStr">
        <is>
          <t>Resource Mining Corporation Ltd</t>
        </is>
      </c>
      <c r="D2137" t="inlineStr">
        <is>
          <t>AUD</t>
        </is>
      </c>
      <c r="E2137" t="inlineStr">
        <is>
          <t>ASX</t>
        </is>
      </c>
    </row>
    <row r="2138">
      <c r="B2138" t="inlineStr">
        <is>
          <t>T92</t>
        </is>
      </c>
      <c r="C2138" t="inlineStr">
        <is>
          <t>Terra Uranium Ltd</t>
        </is>
      </c>
      <c r="D2138" t="inlineStr">
        <is>
          <t>AUD</t>
        </is>
      </c>
      <c r="E2138" t="inlineStr">
        <is>
          <t>ASX</t>
        </is>
      </c>
    </row>
    <row r="2139">
      <c r="B2139" t="inlineStr">
        <is>
          <t>ICR</t>
        </is>
      </c>
      <c r="C2139" t="inlineStr">
        <is>
          <t>Intelicare Holdings Ltd</t>
        </is>
      </c>
      <c r="D2139" t="inlineStr">
        <is>
          <t>AUD</t>
        </is>
      </c>
      <c r="E2139" t="inlineStr">
        <is>
          <t>ASX</t>
        </is>
      </c>
    </row>
    <row r="2140">
      <c r="B2140" t="inlineStr">
        <is>
          <t>ADC</t>
        </is>
      </c>
      <c r="C2140" t="inlineStr">
        <is>
          <t>Acdc Metals Ltd</t>
        </is>
      </c>
      <c r="D2140" t="inlineStr">
        <is>
          <t>AUD</t>
        </is>
      </c>
      <c r="E2140" t="inlineStr">
        <is>
          <t>ASX</t>
        </is>
      </c>
    </row>
    <row r="2141">
      <c r="B2141" t="inlineStr">
        <is>
          <t>DUN</t>
        </is>
      </c>
      <c r="C2141" t="inlineStr">
        <is>
          <t>Dundas Minerals Ltd</t>
        </is>
      </c>
      <c r="D2141" t="inlineStr">
        <is>
          <t>AUD</t>
        </is>
      </c>
      <c r="E2141" t="inlineStr">
        <is>
          <t>ASX</t>
        </is>
      </c>
    </row>
    <row r="2142">
      <c r="B2142" t="inlineStr">
        <is>
          <t>NCR</t>
        </is>
      </c>
      <c r="C2142" t="inlineStr">
        <is>
          <t>Nucoal Resources Ltd</t>
        </is>
      </c>
      <c r="D2142" t="inlineStr">
        <is>
          <t>AUD</t>
        </is>
      </c>
      <c r="E2142" t="inlineStr">
        <is>
          <t>ASX</t>
        </is>
      </c>
    </row>
    <row r="2143">
      <c r="B2143" t="inlineStr">
        <is>
          <t>KDY</t>
        </is>
      </c>
      <c r="C2143" t="inlineStr">
        <is>
          <t>Kaddy Ltd</t>
        </is>
      </c>
      <c r="D2143" t="inlineStr">
        <is>
          <t>AUD</t>
        </is>
      </c>
      <c r="E2143" t="inlineStr">
        <is>
          <t>ASX</t>
        </is>
      </c>
    </row>
    <row r="2144">
      <c r="B2144" t="inlineStr">
        <is>
          <t>EMT</t>
        </is>
      </c>
      <c r="C2144" t="inlineStr">
        <is>
          <t>Emetals Ltd</t>
        </is>
      </c>
      <c r="D2144" t="inlineStr">
        <is>
          <t>AUD</t>
        </is>
      </c>
      <c r="E2144" t="inlineStr">
        <is>
          <t>ASX</t>
        </is>
      </c>
    </row>
    <row r="2145">
      <c r="B2145" t="inlineStr">
        <is>
          <t>FMR</t>
        </is>
      </c>
      <c r="C2145" t="inlineStr">
        <is>
          <t>FMR Resources Ltd</t>
        </is>
      </c>
      <c r="D2145" t="inlineStr">
        <is>
          <t>AUD</t>
        </is>
      </c>
      <c r="E2145" t="inlineStr">
        <is>
          <t>ASX</t>
        </is>
      </c>
    </row>
    <row r="2146">
      <c r="B2146" t="inlineStr">
        <is>
          <t>BMO</t>
        </is>
      </c>
      <c r="C2146" t="inlineStr">
        <is>
          <t>Bastion Minerals Ltd</t>
        </is>
      </c>
      <c r="D2146" t="inlineStr">
        <is>
          <t>AUD</t>
        </is>
      </c>
      <c r="E2146" t="inlineStr">
        <is>
          <t>ASX</t>
        </is>
      </c>
    </row>
    <row r="2147">
      <c r="B2147" t="inlineStr">
        <is>
          <t>CDT</t>
        </is>
      </c>
      <c r="C2147" t="inlineStr">
        <is>
          <t>Castle Minerals Ltd</t>
        </is>
      </c>
      <c r="D2147" t="inlineStr">
        <is>
          <t>AUD</t>
        </is>
      </c>
      <c r="E2147" t="inlineStr">
        <is>
          <t>ASX</t>
        </is>
      </c>
    </row>
    <row r="2148">
      <c r="B2148" t="inlineStr">
        <is>
          <t>WOA</t>
        </is>
      </c>
      <c r="C2148" t="inlineStr">
        <is>
          <t>Wide Open Agriculture Ltd</t>
        </is>
      </c>
      <c r="D2148" t="inlineStr">
        <is>
          <t>AUD</t>
        </is>
      </c>
      <c r="E2148" t="inlineStr">
        <is>
          <t>ASX</t>
        </is>
      </c>
    </row>
    <row r="2149">
      <c r="B2149" t="inlineStr">
        <is>
          <t>CTN</t>
        </is>
      </c>
      <c r="C2149" t="inlineStr">
        <is>
          <t>Catalina Resources Ltd</t>
        </is>
      </c>
      <c r="D2149" t="inlineStr">
        <is>
          <t>AUD</t>
        </is>
      </c>
      <c r="E2149" t="inlineStr">
        <is>
          <t>ASX</t>
        </is>
      </c>
    </row>
    <row r="2150">
      <c r="B2150" t="inlineStr">
        <is>
          <t>TML</t>
        </is>
      </c>
      <c r="C2150" t="inlineStr">
        <is>
          <t>Timah Resources Ltd</t>
        </is>
      </c>
      <c r="D2150" t="inlineStr">
        <is>
          <t>AUD</t>
        </is>
      </c>
      <c r="E2150" t="inlineStr">
        <is>
          <t>ASX</t>
        </is>
      </c>
    </row>
    <row r="2151">
      <c r="B2151" t="inlineStr">
        <is>
          <t>RMX</t>
        </is>
      </c>
      <c r="C2151" t="inlineStr">
        <is>
          <t>Red Mountain Mining Ltd</t>
        </is>
      </c>
      <c r="D2151" t="inlineStr">
        <is>
          <t>AUD</t>
        </is>
      </c>
      <c r="E2151" t="inlineStr">
        <is>
          <t>ASX</t>
        </is>
      </c>
    </row>
    <row r="2152">
      <c r="B2152" t="inlineStr">
        <is>
          <t>HTM</t>
        </is>
      </c>
      <c r="C2152" t="inlineStr">
        <is>
          <t>High-Tech Metals Ltd</t>
        </is>
      </c>
      <c r="D2152" t="inlineStr">
        <is>
          <t>AUD</t>
        </is>
      </c>
      <c r="E2152" t="inlineStr">
        <is>
          <t>ASX</t>
        </is>
      </c>
    </row>
    <row r="2153">
      <c r="B2153" t="inlineStr">
        <is>
          <t>OCN</t>
        </is>
      </c>
      <c r="C2153" t="inlineStr">
        <is>
          <t>Oceana Lithium Ltd</t>
        </is>
      </c>
      <c r="D2153" t="inlineStr">
        <is>
          <t>AUD</t>
        </is>
      </c>
      <c r="E2153" t="inlineStr">
        <is>
          <t>ASX</t>
        </is>
      </c>
    </row>
    <row r="2154">
      <c r="B2154" t="inlineStr">
        <is>
          <t>AN1</t>
        </is>
      </c>
      <c r="C2154" t="inlineStr">
        <is>
          <t>Anagenics Ltd</t>
        </is>
      </c>
      <c r="D2154" t="inlineStr">
        <is>
          <t>AUD</t>
        </is>
      </c>
      <c r="E2154" t="inlineStr">
        <is>
          <t>ASX</t>
        </is>
      </c>
    </row>
    <row r="2155">
      <c r="B2155" t="inlineStr">
        <is>
          <t>AYM</t>
        </is>
      </c>
      <c r="C2155" t="inlineStr">
        <is>
          <t>Australia United Mining Ltd</t>
        </is>
      </c>
      <c r="D2155" t="inlineStr">
        <is>
          <t>AUD</t>
        </is>
      </c>
      <c r="E2155" t="inlineStr">
        <is>
          <t>ASX</t>
        </is>
      </c>
    </row>
    <row r="2156">
      <c r="B2156" t="inlineStr">
        <is>
          <t>EQS</t>
        </is>
      </c>
      <c r="C2156" t="inlineStr">
        <is>
          <t>Equity Story Group Ltd</t>
        </is>
      </c>
      <c r="D2156" t="inlineStr">
        <is>
          <t>AUD</t>
        </is>
      </c>
      <c r="E2156" t="inlineStr">
        <is>
          <t>ASX</t>
        </is>
      </c>
    </row>
    <row r="2157">
      <c r="B2157" t="inlineStr">
        <is>
          <t>DDT</t>
        </is>
      </c>
      <c r="C2157" t="inlineStr">
        <is>
          <t>Datadot Technology Ltd</t>
        </is>
      </c>
      <c r="D2157" t="inlineStr">
        <is>
          <t>AUD</t>
        </is>
      </c>
      <c r="E2157" t="inlineStr">
        <is>
          <t>ASX</t>
        </is>
      </c>
    </row>
    <row r="2158">
      <c r="B2158" t="inlineStr">
        <is>
          <t>VTI</t>
        </is>
      </c>
      <c r="C2158" t="inlineStr">
        <is>
          <t>Visioneering Technologies Inc</t>
        </is>
      </c>
      <c r="D2158" t="inlineStr">
        <is>
          <t>AUD</t>
        </is>
      </c>
      <c r="E2158" t="inlineStr">
        <is>
          <t>ASX</t>
        </is>
      </c>
    </row>
    <row r="2159">
      <c r="B2159" t="inlineStr">
        <is>
          <t>EVR</t>
        </is>
      </c>
      <c r="C2159" t="inlineStr">
        <is>
          <t>EV Resources Ltd</t>
        </is>
      </c>
      <c r="D2159" t="inlineStr">
        <is>
          <t>AUD</t>
        </is>
      </c>
      <c r="E2159" t="inlineStr">
        <is>
          <t>ASX</t>
        </is>
      </c>
    </row>
    <row r="2160">
      <c r="B2160" t="inlineStr">
        <is>
          <t>BCT</t>
        </is>
      </c>
      <c r="C2160" t="inlineStr">
        <is>
          <t>Bluechiip Ltd</t>
        </is>
      </c>
      <c r="D2160" t="inlineStr">
        <is>
          <t>AUD</t>
        </is>
      </c>
      <c r="E2160" t="inlineStr">
        <is>
          <t>ASX</t>
        </is>
      </c>
    </row>
    <row r="2161">
      <c r="B2161" t="inlineStr">
        <is>
          <t>SVNP</t>
        </is>
      </c>
      <c r="C2161" t="inlineStr">
        <is>
          <t>Savana US Small Caps Active ETF</t>
        </is>
      </c>
      <c r="D2161" t="inlineStr">
        <is>
          <t>AUD</t>
        </is>
      </c>
      <c r="E2161" t="inlineStr">
        <is>
          <t>ASX</t>
        </is>
      </c>
    </row>
    <row r="2162">
      <c r="B2162" t="inlineStr">
        <is>
          <t>EM2</t>
        </is>
      </c>
      <c r="C2162" t="inlineStr">
        <is>
          <t>Eagle Mountain Mining Ltd</t>
        </is>
      </c>
      <c r="D2162" t="inlineStr">
        <is>
          <t>AUD</t>
        </is>
      </c>
      <c r="E2162" t="inlineStr">
        <is>
          <t>ASX</t>
        </is>
      </c>
    </row>
    <row r="2163">
      <c r="B2163" t="inlineStr">
        <is>
          <t>MOH</t>
        </is>
      </c>
      <c r="C2163" t="inlineStr">
        <is>
          <t>Moho Resources Ltd</t>
        </is>
      </c>
      <c r="D2163" t="inlineStr">
        <is>
          <t>AUD</t>
        </is>
      </c>
      <c r="E2163" t="inlineStr">
        <is>
          <t>ASX</t>
        </is>
      </c>
    </row>
    <row r="2164">
      <c r="B2164" t="inlineStr">
        <is>
          <t>HFY</t>
        </is>
      </c>
      <c r="C2164" t="inlineStr">
        <is>
          <t>Hubify Ltd</t>
        </is>
      </c>
      <c r="D2164" t="inlineStr">
        <is>
          <t>AUD</t>
        </is>
      </c>
      <c r="E2164" t="inlineStr">
        <is>
          <t>ASX</t>
        </is>
      </c>
    </row>
    <row r="2165">
      <c r="B2165" t="inlineStr">
        <is>
          <t>RBX</t>
        </is>
      </c>
      <c r="C2165" t="inlineStr">
        <is>
          <t>Resource Base Ltd</t>
        </is>
      </c>
      <c r="D2165" t="inlineStr">
        <is>
          <t>AUD</t>
        </is>
      </c>
      <c r="E2165" t="inlineStr">
        <is>
          <t>ASX</t>
        </is>
      </c>
    </row>
    <row r="2166">
      <c r="B2166" t="inlineStr">
        <is>
          <t>CTQ</t>
        </is>
      </c>
      <c r="C2166" t="inlineStr">
        <is>
          <t>Careteq Ltd</t>
        </is>
      </c>
      <c r="D2166" t="inlineStr">
        <is>
          <t>AUD</t>
        </is>
      </c>
      <c r="E2166" t="inlineStr">
        <is>
          <t>ASX</t>
        </is>
      </c>
    </row>
    <row r="2167">
      <c r="B2167" t="inlineStr">
        <is>
          <t>MDI</t>
        </is>
      </c>
      <c r="C2167" t="inlineStr">
        <is>
          <t>Middle Island Resources Ltd</t>
        </is>
      </c>
      <c r="D2167" t="inlineStr">
        <is>
          <t>AUD</t>
        </is>
      </c>
      <c r="E2167" t="inlineStr">
        <is>
          <t>ASX</t>
        </is>
      </c>
    </row>
    <row r="2168">
      <c r="B2168" t="inlineStr">
        <is>
          <t>ENT</t>
        </is>
      </c>
      <c r="C2168" t="inlineStr">
        <is>
          <t>Enterprise Metals Ltd</t>
        </is>
      </c>
      <c r="D2168" t="inlineStr">
        <is>
          <t>AUD</t>
        </is>
      </c>
      <c r="E2168" t="inlineStr">
        <is>
          <t>ASX</t>
        </is>
      </c>
    </row>
    <row r="2169">
      <c r="B2169" t="inlineStr">
        <is>
          <t>CPM</t>
        </is>
      </c>
      <c r="C2169" t="inlineStr">
        <is>
          <t>Cooper Metals Ltd</t>
        </is>
      </c>
      <c r="D2169" t="inlineStr">
        <is>
          <t>AUD</t>
        </is>
      </c>
      <c r="E2169" t="inlineStr">
        <is>
          <t>ASX</t>
        </is>
      </c>
    </row>
    <row r="2170">
      <c r="B2170" t="inlineStr">
        <is>
          <t>WC1</t>
        </is>
      </c>
      <c r="C2170" t="inlineStr">
        <is>
          <t>West Cobar Metals Ltd</t>
        </is>
      </c>
      <c r="D2170" t="inlineStr">
        <is>
          <t>AUD</t>
        </is>
      </c>
      <c r="E2170" t="inlineStr">
        <is>
          <t>ASX</t>
        </is>
      </c>
    </row>
    <row r="2171">
      <c r="B2171" t="inlineStr">
        <is>
          <t>CR3</t>
        </is>
      </c>
      <c r="C2171" t="inlineStr">
        <is>
          <t>Core Energy Minerals Ltd</t>
        </is>
      </c>
      <c r="D2171" t="inlineStr">
        <is>
          <t>AUD</t>
        </is>
      </c>
      <c r="E2171" t="inlineStr">
        <is>
          <t>ASX</t>
        </is>
      </c>
    </row>
    <row r="2172">
      <c r="B2172" t="inlineStr">
        <is>
          <t>TEM</t>
        </is>
      </c>
      <c r="C2172" t="inlineStr">
        <is>
          <t>Tempest Minerals Ltd</t>
        </is>
      </c>
      <c r="D2172" t="inlineStr">
        <is>
          <t>AUD</t>
        </is>
      </c>
      <c r="E2172" t="inlineStr">
        <is>
          <t>ASX</t>
        </is>
      </c>
    </row>
    <row r="2173">
      <c r="B2173" t="inlineStr">
        <is>
          <t>CL8</t>
        </is>
      </c>
      <c r="C2173" t="inlineStr">
        <is>
          <t>Carly Holdings Ltd</t>
        </is>
      </c>
      <c r="D2173" t="inlineStr">
        <is>
          <t>AUD</t>
        </is>
      </c>
      <c r="E2173" t="inlineStr">
        <is>
          <t>ASX</t>
        </is>
      </c>
    </row>
    <row r="2174">
      <c r="B2174" t="inlineStr">
        <is>
          <t>GED</t>
        </is>
      </c>
      <c r="C2174" t="inlineStr">
        <is>
          <t>Golden Deeps Ltd</t>
        </is>
      </c>
      <c r="D2174" t="inlineStr">
        <is>
          <t>AUD</t>
        </is>
      </c>
      <c r="E2174" t="inlineStr">
        <is>
          <t>ASX</t>
        </is>
      </c>
    </row>
    <row r="2175">
      <c r="B2175" t="inlineStr">
        <is>
          <t>8IH</t>
        </is>
      </c>
      <c r="C2175" t="inlineStr">
        <is>
          <t>8I Holdings Ltd</t>
        </is>
      </c>
      <c r="D2175" t="inlineStr">
        <is>
          <t>AUD</t>
        </is>
      </c>
      <c r="E2175" t="inlineStr">
        <is>
          <t>ASX</t>
        </is>
      </c>
    </row>
    <row r="2176">
      <c r="B2176" t="inlineStr">
        <is>
          <t>CUL</t>
        </is>
      </c>
      <c r="C2176" t="inlineStr">
        <is>
          <t>Cullen Resources Ltd</t>
        </is>
      </c>
      <c r="D2176" t="inlineStr">
        <is>
          <t>AUD</t>
        </is>
      </c>
      <c r="E2176" t="inlineStr">
        <is>
          <t>ASX</t>
        </is>
      </c>
    </row>
    <row r="2177">
      <c r="B2177" t="inlineStr">
        <is>
          <t>TTI</t>
        </is>
      </c>
      <c r="C2177" t="inlineStr">
        <is>
          <t>Traffic Technologies Ltd</t>
        </is>
      </c>
      <c r="D2177" t="inlineStr">
        <is>
          <t>AUD</t>
        </is>
      </c>
      <c r="E2177" t="inlineStr">
        <is>
          <t>ASX</t>
        </is>
      </c>
    </row>
    <row r="2178">
      <c r="B2178" t="inlineStr">
        <is>
          <t>FASI</t>
        </is>
      </c>
      <c r="C2178" t="inlineStr">
        <is>
          <t>Fidelity Asia Active ETF</t>
        </is>
      </c>
      <c r="D2178" t="inlineStr">
        <is>
          <t>AUD</t>
        </is>
      </c>
      <c r="E2178" t="inlineStr">
        <is>
          <t>ASX</t>
        </is>
      </c>
    </row>
    <row r="2179">
      <c r="B2179" t="inlineStr">
        <is>
          <t>PBL</t>
        </is>
      </c>
      <c r="C2179" t="inlineStr">
        <is>
          <t>Parabellum Resources Ltd</t>
        </is>
      </c>
      <c r="D2179" t="inlineStr">
        <is>
          <t>AUD</t>
        </is>
      </c>
      <c r="E2179" t="inlineStr">
        <is>
          <t>ASX</t>
        </is>
      </c>
    </row>
    <row r="2180">
      <c r="B2180" t="inlineStr">
        <is>
          <t>IBX</t>
        </is>
      </c>
      <c r="C2180" t="inlineStr">
        <is>
          <t>Imagion Biosystems Ltd</t>
        </is>
      </c>
      <c r="D2180" t="inlineStr">
        <is>
          <t>AUD</t>
        </is>
      </c>
      <c r="E2180" t="inlineStr">
        <is>
          <t>ASX</t>
        </is>
      </c>
    </row>
    <row r="2181">
      <c r="B2181" t="inlineStr">
        <is>
          <t>CUS</t>
        </is>
      </c>
      <c r="C2181" t="inlineStr">
        <is>
          <t>Copper Search Ltd</t>
        </is>
      </c>
      <c r="D2181" t="inlineStr">
        <is>
          <t>AUD</t>
        </is>
      </c>
      <c r="E2181" t="inlineStr">
        <is>
          <t>ASX</t>
        </is>
      </c>
    </row>
    <row r="2182">
      <c r="B2182" t="inlineStr">
        <is>
          <t>EFE</t>
        </is>
      </c>
      <c r="C2182" t="inlineStr">
        <is>
          <t>Eastern Resources Ltd</t>
        </is>
      </c>
      <c r="D2182" t="inlineStr">
        <is>
          <t>AUD</t>
        </is>
      </c>
      <c r="E2182" t="inlineStr">
        <is>
          <t>ASX</t>
        </is>
      </c>
    </row>
    <row r="2183">
      <c r="B2183" t="inlineStr">
        <is>
          <t>CMX</t>
        </is>
      </c>
      <c r="C2183" t="inlineStr">
        <is>
          <t>CHEMX Materials Ltd</t>
        </is>
      </c>
      <c r="D2183" t="inlineStr">
        <is>
          <t>AUD</t>
        </is>
      </c>
      <c r="E2183" t="inlineStr">
        <is>
          <t>ASX</t>
        </is>
      </c>
    </row>
    <row r="2184">
      <c r="B2184" t="inlineStr">
        <is>
          <t>NC6</t>
        </is>
      </c>
      <c r="C2184" t="inlineStr">
        <is>
          <t>Nanollose Ltd</t>
        </is>
      </c>
      <c r="D2184" t="inlineStr">
        <is>
          <t>AUD</t>
        </is>
      </c>
      <c r="E2184" t="inlineStr">
        <is>
          <t>ASX</t>
        </is>
      </c>
    </row>
    <row r="2185">
      <c r="B2185" t="inlineStr">
        <is>
          <t>SIS</t>
        </is>
      </c>
      <c r="C2185" t="inlineStr">
        <is>
          <t>Simble Solutions Ltd</t>
        </is>
      </c>
      <c r="D2185" t="inlineStr">
        <is>
          <t>AUD</t>
        </is>
      </c>
      <c r="E2185" t="inlineStr">
        <is>
          <t>ASX</t>
        </is>
      </c>
    </row>
    <row r="2186">
      <c r="B2186" t="inlineStr">
        <is>
          <t>ALB</t>
        </is>
      </c>
      <c r="C2186" t="inlineStr">
        <is>
          <t>Albion Resources Ltd</t>
        </is>
      </c>
      <c r="D2186" t="inlineStr">
        <is>
          <t>AUD</t>
        </is>
      </c>
      <c r="E2186" t="inlineStr">
        <is>
          <t>ASX</t>
        </is>
      </c>
    </row>
    <row r="2187">
      <c r="B2187" t="inlineStr">
        <is>
          <t>L1HI</t>
        </is>
      </c>
      <c r="C2187" t="inlineStr">
        <is>
          <t>L1 Capital International (Hedged) Active ETF</t>
        </is>
      </c>
      <c r="D2187" t="inlineStr">
        <is>
          <t>AUD</t>
        </is>
      </c>
      <c r="E2187" t="inlineStr">
        <is>
          <t>ASX</t>
        </is>
      </c>
    </row>
    <row r="2188">
      <c r="B2188" t="inlineStr">
        <is>
          <t>NZS</t>
        </is>
      </c>
      <c r="C2188" t="inlineStr">
        <is>
          <t>New Zealand Coastal Seafoods Ltd</t>
        </is>
      </c>
      <c r="D2188" t="inlineStr">
        <is>
          <t>AUD</t>
        </is>
      </c>
      <c r="E2188" t="inlineStr">
        <is>
          <t>ASX</t>
        </is>
      </c>
    </row>
    <row r="2189">
      <c r="B2189" t="inlineStr">
        <is>
          <t>OMX</t>
        </is>
      </c>
      <c r="C2189" t="inlineStr">
        <is>
          <t>Orange Minerals NL</t>
        </is>
      </c>
      <c r="D2189" t="inlineStr">
        <is>
          <t>AUD</t>
        </is>
      </c>
      <c r="E2189" t="inlineStr">
        <is>
          <t>ASX</t>
        </is>
      </c>
    </row>
    <row r="2190">
      <c r="B2190" t="inlineStr">
        <is>
          <t>OXT</t>
        </is>
      </c>
      <c r="C2190" t="inlineStr">
        <is>
          <t>Orexplore Technologies Ltd</t>
        </is>
      </c>
      <c r="D2190" t="inlineStr">
        <is>
          <t>AUD</t>
        </is>
      </c>
      <c r="E2190" t="inlineStr">
        <is>
          <t>ASX</t>
        </is>
      </c>
    </row>
    <row r="2191">
      <c r="B2191" t="inlineStr">
        <is>
          <t>TD1</t>
        </is>
      </c>
      <c r="C2191" t="inlineStr">
        <is>
          <t>Tali Digital Ltd</t>
        </is>
      </c>
      <c r="D2191" t="inlineStr">
        <is>
          <t>AUD</t>
        </is>
      </c>
      <c r="E2191" t="inlineStr">
        <is>
          <t>ASX</t>
        </is>
      </c>
    </row>
    <row r="2192">
      <c r="B2192" t="inlineStr">
        <is>
          <t>PKO</t>
        </is>
      </c>
      <c r="C2192" t="inlineStr">
        <is>
          <t>Peako Ltd</t>
        </is>
      </c>
      <c r="D2192" t="inlineStr">
        <is>
          <t>AUD</t>
        </is>
      </c>
      <c r="E2192" t="inlineStr">
        <is>
          <t>ASX</t>
        </is>
      </c>
    </row>
    <row r="2193">
      <c r="B2193" t="inlineStr">
        <is>
          <t>BTM</t>
        </is>
      </c>
      <c r="C2193" t="inlineStr">
        <is>
          <t>Breakthrough Minerals Ltd</t>
        </is>
      </c>
      <c r="D2193" t="inlineStr">
        <is>
          <t>AUD</t>
        </is>
      </c>
      <c r="E2193" t="inlineStr">
        <is>
          <t>ASX</t>
        </is>
      </c>
    </row>
    <row r="2194">
      <c r="B2194" t="inlineStr">
        <is>
          <t>M3M</t>
        </is>
      </c>
      <c r="C2194" t="inlineStr">
        <is>
          <t>M3 Mining Ltd</t>
        </is>
      </c>
      <c r="D2194" t="inlineStr">
        <is>
          <t>AUD</t>
        </is>
      </c>
      <c r="E2194" t="inlineStr">
        <is>
          <t>ASX</t>
        </is>
      </c>
    </row>
    <row r="2195">
      <c r="B2195" t="inlineStr">
        <is>
          <t>THR</t>
        </is>
      </c>
      <c r="C2195" t="inlineStr">
        <is>
          <t>Thor Energy Plc</t>
        </is>
      </c>
      <c r="D2195" t="inlineStr">
        <is>
          <t>AUD</t>
        </is>
      </c>
      <c r="E2195" t="inlineStr">
        <is>
          <t>ASX</t>
        </is>
      </c>
    </row>
    <row r="2196">
      <c r="B2196" t="inlineStr">
        <is>
          <t>OZXX</t>
        </is>
      </c>
      <c r="C2196" t="inlineStr">
        <is>
          <t>Global X Australia Ex Financials &amp; Resources ETF</t>
        </is>
      </c>
      <c r="D2196" t="inlineStr">
        <is>
          <t>AUD</t>
        </is>
      </c>
      <c r="E2196" t="inlineStr">
        <is>
          <t>ASX</t>
        </is>
      </c>
    </row>
    <row r="2197">
      <c r="B2197" t="inlineStr">
        <is>
          <t>ERW</t>
        </is>
      </c>
      <c r="C2197" t="inlineStr">
        <is>
          <t>Errawarra Resources Ltd</t>
        </is>
      </c>
      <c r="D2197" t="inlineStr">
        <is>
          <t>AUD</t>
        </is>
      </c>
      <c r="E2197" t="inlineStr">
        <is>
          <t>ASX</t>
        </is>
      </c>
    </row>
    <row r="2198">
      <c r="B2198" t="inlineStr">
        <is>
          <t>JHLO</t>
        </is>
      </c>
      <c r="C2198" t="inlineStr">
        <is>
          <t>Jpmorgan Global Select Equity (Hedged) Active ETF</t>
        </is>
      </c>
      <c r="D2198" t="inlineStr">
        <is>
          <t>AUD</t>
        </is>
      </c>
      <c r="E2198" t="inlineStr">
        <is>
          <t>ASX</t>
        </is>
      </c>
    </row>
    <row r="2199">
      <c r="B2199" t="inlineStr">
        <is>
          <t>IBUY</t>
        </is>
      </c>
      <c r="C2199" t="inlineStr">
        <is>
          <t>Betashares Online Retail and E-Commerce ETF</t>
        </is>
      </c>
      <c r="D2199" t="inlineStr">
        <is>
          <t>AUD</t>
        </is>
      </c>
      <c r="E2199" t="inlineStr">
        <is>
          <t>ASX</t>
        </is>
      </c>
    </row>
    <row r="2200">
      <c r="B2200" t="inlineStr">
        <is>
          <t>EEL</t>
        </is>
      </c>
      <c r="C2200" t="inlineStr">
        <is>
          <t>Enrg Elements Ltd</t>
        </is>
      </c>
      <c r="D2200" t="inlineStr">
        <is>
          <t>AUD</t>
        </is>
      </c>
      <c r="E2200" t="inlineStr">
        <is>
          <t>ASX</t>
        </is>
      </c>
    </row>
    <row r="2201">
      <c r="B2201" t="inlineStr">
        <is>
          <t>RCR</t>
        </is>
      </c>
      <c r="C2201" t="inlineStr">
        <is>
          <t>Rincon Resources Ltd</t>
        </is>
      </c>
      <c r="D2201" t="inlineStr">
        <is>
          <t>AUD</t>
        </is>
      </c>
      <c r="E2201" t="inlineStr">
        <is>
          <t>ASX</t>
        </is>
      </c>
    </row>
    <row r="2202">
      <c r="B2202" t="inlineStr">
        <is>
          <t>JGLO</t>
        </is>
      </c>
      <c r="C2202" t="inlineStr">
        <is>
          <t>Jpmorgan Global Select Equity Active ETF</t>
        </is>
      </c>
      <c r="D2202" t="inlineStr">
        <is>
          <t>AUD</t>
        </is>
      </c>
      <c r="E2202" t="inlineStr">
        <is>
          <t>ASX</t>
        </is>
      </c>
    </row>
    <row r="2203">
      <c r="B2203" t="inlineStr">
        <is>
          <t>WSR</t>
        </is>
      </c>
      <c r="C2203" t="inlineStr">
        <is>
          <t>Westar Resources Ltd</t>
        </is>
      </c>
      <c r="D2203" t="inlineStr">
        <is>
          <t>AUD</t>
        </is>
      </c>
      <c r="E2203" t="inlineStr">
        <is>
          <t>ASX</t>
        </is>
      </c>
    </row>
    <row r="2204">
      <c r="B2204" t="inlineStr">
        <is>
          <t>CDE</t>
        </is>
      </c>
      <c r="C2204" t="inlineStr">
        <is>
          <t>Codeifai Ltd</t>
        </is>
      </c>
      <c r="D2204" t="inlineStr">
        <is>
          <t>AUD</t>
        </is>
      </c>
      <c r="E2204" t="inlineStr">
        <is>
          <t>ASX</t>
        </is>
      </c>
    </row>
    <row r="2205">
      <c r="B2205" t="inlineStr">
        <is>
          <t>SBR</t>
        </is>
      </c>
      <c r="C2205" t="inlineStr">
        <is>
          <t>Sabre Resources Ltd</t>
        </is>
      </c>
      <c r="D2205" t="inlineStr">
        <is>
          <t>AUD</t>
        </is>
      </c>
      <c r="E2205" t="inlineStr">
        <is>
          <t>ASX</t>
        </is>
      </c>
    </row>
    <row r="2206">
      <c r="B2206" t="inlineStr">
        <is>
          <t>MOM</t>
        </is>
      </c>
      <c r="C2206" t="inlineStr">
        <is>
          <t>Moab Minerals Ltd</t>
        </is>
      </c>
      <c r="D2206" t="inlineStr">
        <is>
          <t>AUD</t>
        </is>
      </c>
      <c r="E2206" t="inlineStr">
        <is>
          <t>ASX</t>
        </is>
      </c>
    </row>
    <row r="2207">
      <c r="B2207" t="inlineStr">
        <is>
          <t>GES</t>
        </is>
      </c>
      <c r="C2207" t="inlineStr">
        <is>
          <t>Genesis Resources Ltd</t>
        </is>
      </c>
      <c r="D2207" t="inlineStr">
        <is>
          <t>AUD</t>
        </is>
      </c>
      <c r="E2207" t="inlineStr">
        <is>
          <t>ASX</t>
        </is>
      </c>
    </row>
    <row r="2208">
      <c r="B2208" t="inlineStr">
        <is>
          <t>RLL</t>
        </is>
      </c>
      <c r="C2208" t="inlineStr">
        <is>
          <t>Rapid Lithium Ltd</t>
        </is>
      </c>
      <c r="D2208" t="inlineStr">
        <is>
          <t>AUD</t>
        </is>
      </c>
      <c r="E2208" t="inlineStr">
        <is>
          <t>ASX</t>
        </is>
      </c>
    </row>
    <row r="2209">
      <c r="B2209" t="inlineStr">
        <is>
          <t>IPAY</t>
        </is>
      </c>
      <c r="C2209" t="inlineStr">
        <is>
          <t>Betashares Future of Payments ETF</t>
        </is>
      </c>
      <c r="D2209" t="inlineStr">
        <is>
          <t>AUD</t>
        </is>
      </c>
      <c r="E2209" t="inlineStr">
        <is>
          <t>ASX</t>
        </is>
      </c>
    </row>
    <row r="2210">
      <c r="B2210" t="inlineStr">
        <is>
          <t>ADD</t>
        </is>
      </c>
      <c r="C2210" t="inlineStr">
        <is>
          <t>Adavale Resources Ltd</t>
        </is>
      </c>
      <c r="D2210" t="inlineStr">
        <is>
          <t>AUD</t>
        </is>
      </c>
      <c r="E2210" t="inlineStr">
        <is>
          <t>ASX</t>
        </is>
      </c>
    </row>
    <row r="2211">
      <c r="B2211" t="inlineStr">
        <is>
          <t>GMTL</t>
        </is>
      </c>
      <c r="C2211" t="inlineStr">
        <is>
          <t>Global X Green Metal Miners ETF</t>
        </is>
      </c>
      <c r="D2211" t="inlineStr">
        <is>
          <t>AUD</t>
        </is>
      </c>
      <c r="E2211" t="inlineStr">
        <is>
          <t>ASX</t>
        </is>
      </c>
    </row>
    <row r="2212">
      <c r="B2212" t="inlineStr">
        <is>
          <t>AOK</t>
        </is>
      </c>
      <c r="C2212" t="inlineStr">
        <is>
          <t>Australian Oil Company Ltd</t>
        </is>
      </c>
      <c r="D2212" t="inlineStr">
        <is>
          <t>AUD</t>
        </is>
      </c>
      <c r="E2212" t="inlineStr">
        <is>
          <t>ASX</t>
        </is>
      </c>
    </row>
    <row r="2213">
      <c r="B2213" t="inlineStr">
        <is>
          <t>HT8</t>
        </is>
      </c>
      <c r="C2213" t="inlineStr">
        <is>
          <t>Harris Technology Group Ltd</t>
        </is>
      </c>
      <c r="D2213" t="inlineStr">
        <is>
          <t>AUD</t>
        </is>
      </c>
      <c r="E2213" t="inlineStr">
        <is>
          <t>ASX</t>
        </is>
      </c>
    </row>
    <row r="2214">
      <c r="B2214" t="inlineStr">
        <is>
          <t>ACM</t>
        </is>
      </c>
      <c r="C2214" t="inlineStr">
        <is>
          <t>Australian Critical Minerals Ltd</t>
        </is>
      </c>
      <c r="D2214" t="inlineStr">
        <is>
          <t>AUD</t>
        </is>
      </c>
      <c r="E2214" t="inlineStr">
        <is>
          <t>ASX</t>
        </is>
      </c>
    </row>
    <row r="2215">
      <c r="B2215" t="inlineStr">
        <is>
          <t>LMS</t>
        </is>
      </c>
      <c r="C2215" t="inlineStr">
        <is>
          <t>Litchfield Minerals Ltd</t>
        </is>
      </c>
      <c r="D2215" t="inlineStr">
        <is>
          <t>AUD</t>
        </is>
      </c>
      <c r="E2215" t="inlineStr">
        <is>
          <t>ASX</t>
        </is>
      </c>
    </row>
    <row r="2216">
      <c r="B2216" t="inlineStr">
        <is>
          <t>CT1</t>
        </is>
      </c>
      <c r="C2216" t="inlineStr">
        <is>
          <t>Constellation Technologies Ltd</t>
        </is>
      </c>
      <c r="D2216" t="inlineStr">
        <is>
          <t>AUD</t>
        </is>
      </c>
      <c r="E2216" t="inlineStr">
        <is>
          <t>ASX</t>
        </is>
      </c>
    </row>
    <row r="2217">
      <c r="B2217" t="inlineStr">
        <is>
          <t>PLC</t>
        </is>
      </c>
      <c r="C2217" t="inlineStr">
        <is>
          <t>PREMIER1 Lithium Ltd</t>
        </is>
      </c>
      <c r="D2217" t="inlineStr">
        <is>
          <t>AUD</t>
        </is>
      </c>
      <c r="E2217" t="inlineStr">
        <is>
          <t>ASX</t>
        </is>
      </c>
    </row>
    <row r="2218">
      <c r="B2218" t="inlineStr">
        <is>
          <t>AVW</t>
        </is>
      </c>
      <c r="C2218" t="inlineStr">
        <is>
          <t>Avira Resources Ltd</t>
        </is>
      </c>
      <c r="D2218" t="inlineStr">
        <is>
          <t>AUD</t>
        </is>
      </c>
      <c r="E2218" t="inlineStr">
        <is>
          <t>ASX</t>
        </is>
      </c>
    </row>
    <row r="2219">
      <c r="B2219" t="inlineStr">
        <is>
          <t>KOR</t>
        </is>
      </c>
      <c r="C2219" t="inlineStr">
        <is>
          <t>Korab Resources Ltd</t>
        </is>
      </c>
      <c r="D2219" t="inlineStr">
        <is>
          <t>AUD</t>
        </is>
      </c>
      <c r="E2219" t="inlineStr">
        <is>
          <t>ASX</t>
        </is>
      </c>
    </row>
    <row r="2220">
      <c r="B2220" t="inlineStr">
        <is>
          <t>XCO2</t>
        </is>
      </c>
      <c r="C2220" t="inlineStr">
        <is>
          <t>Vaneck Global Carbon Credits ETF (Synthetic)</t>
        </is>
      </c>
      <c r="D2220" t="inlineStr">
        <is>
          <t>AUD</t>
        </is>
      </c>
      <c r="E2220" t="inlineStr">
        <is>
          <t>ASX</t>
        </is>
      </c>
    </row>
    <row r="2221">
      <c r="B2221" t="inlineStr">
        <is>
          <t>OPL</t>
        </is>
      </c>
      <c r="C2221" t="inlineStr">
        <is>
          <t>Opyl Ltd</t>
        </is>
      </c>
      <c r="D2221" t="inlineStr">
        <is>
          <t>AUD</t>
        </is>
      </c>
      <c r="E2221" t="inlineStr">
        <is>
          <t>ASX</t>
        </is>
      </c>
    </row>
    <row r="2222">
      <c r="B2222" t="inlineStr">
        <is>
          <t>KGD</t>
        </is>
      </c>
      <c r="C2222" t="inlineStr">
        <is>
          <t>Kula Gold Ltd</t>
        </is>
      </c>
      <c r="D2222" t="inlineStr">
        <is>
          <t>AUD</t>
        </is>
      </c>
      <c r="E2222" t="inlineStr">
        <is>
          <t>ASX</t>
        </is>
      </c>
    </row>
    <row r="2223">
      <c r="B2223" t="inlineStr">
        <is>
          <t>XST</t>
        </is>
      </c>
      <c r="C2223" t="inlineStr">
        <is>
          <t>Xstate Resources Ltd</t>
        </is>
      </c>
      <c r="D2223" t="inlineStr">
        <is>
          <t>AUD</t>
        </is>
      </c>
      <c r="E2223" t="inlineStr">
        <is>
          <t>ASX</t>
        </is>
      </c>
    </row>
    <row r="2224">
      <c r="B2224" t="inlineStr">
        <is>
          <t>C7A</t>
        </is>
      </c>
      <c r="C2224" t="inlineStr">
        <is>
          <t>Clara Resources Australia Ltd</t>
        </is>
      </c>
      <c r="D2224" t="inlineStr">
        <is>
          <t>AUD</t>
        </is>
      </c>
      <c r="E2224" t="inlineStr">
        <is>
          <t>ASX</t>
        </is>
      </c>
    </row>
    <row r="2225">
      <c r="B2225" t="inlineStr">
        <is>
          <t>AUR</t>
        </is>
      </c>
      <c r="C2225" t="inlineStr">
        <is>
          <t>Auris Minerals Ltd</t>
        </is>
      </c>
      <c r="D2225" t="inlineStr">
        <is>
          <t>AUD</t>
        </is>
      </c>
      <c r="E2225" t="inlineStr">
        <is>
          <t>ASX</t>
        </is>
      </c>
    </row>
    <row r="2226">
      <c r="B2226" t="inlineStr">
        <is>
          <t>WYX</t>
        </is>
      </c>
      <c r="C2226" t="inlineStr">
        <is>
          <t>Western Yilgarn NL</t>
        </is>
      </c>
      <c r="D2226" t="inlineStr">
        <is>
          <t>AUD</t>
        </is>
      </c>
      <c r="E2226" t="inlineStr">
        <is>
          <t>ASX</t>
        </is>
      </c>
    </row>
    <row r="2227">
      <c r="B2227" t="inlineStr">
        <is>
          <t>PFT</t>
        </is>
      </c>
      <c r="C2227" t="inlineStr">
        <is>
          <t>Pure Foods Tasmania Ltd</t>
        </is>
      </c>
      <c r="D2227" t="inlineStr">
        <is>
          <t>AUD</t>
        </is>
      </c>
      <c r="E2227" t="inlineStr">
        <is>
          <t>ASX</t>
        </is>
      </c>
    </row>
    <row r="2228">
      <c r="B2228" t="inlineStr">
        <is>
          <t>AS2</t>
        </is>
      </c>
      <c r="C2228" t="inlineStr">
        <is>
          <t>Askari Metals Ltd</t>
        </is>
      </c>
      <c r="D2228" t="inlineStr">
        <is>
          <t>AUD</t>
        </is>
      </c>
      <c r="E2228" t="inlineStr">
        <is>
          <t>ASX</t>
        </is>
      </c>
    </row>
    <row r="2229">
      <c r="B2229" t="inlineStr">
        <is>
          <t>ACS</t>
        </is>
      </c>
      <c r="C2229" t="inlineStr">
        <is>
          <t>Accent Resources NL</t>
        </is>
      </c>
      <c r="D2229" t="inlineStr">
        <is>
          <t>AUD</t>
        </is>
      </c>
      <c r="E2229" t="inlineStr">
        <is>
          <t>ASX</t>
        </is>
      </c>
    </row>
    <row r="2230">
      <c r="B2230" t="inlineStr">
        <is>
          <t>USIG</t>
        </is>
      </c>
      <c r="C2230" t="inlineStr">
        <is>
          <t>Global X Usd Corporate Bond ETF (Currency Hedged)</t>
        </is>
      </c>
      <c r="D2230" t="inlineStr">
        <is>
          <t>AUD</t>
        </is>
      </c>
      <c r="E2230" t="inlineStr">
        <is>
          <t>ASX</t>
        </is>
      </c>
    </row>
    <row r="2231">
      <c r="B2231" t="inlineStr">
        <is>
          <t>TX3</t>
        </is>
      </c>
      <c r="C2231" t="inlineStr">
        <is>
          <t>Trinex Minerals Ltd</t>
        </is>
      </c>
      <c r="D2231" t="inlineStr">
        <is>
          <t>AUD</t>
        </is>
      </c>
      <c r="E2231" t="inlineStr">
        <is>
          <t>ASX</t>
        </is>
      </c>
    </row>
    <row r="2232">
      <c r="B2232" t="inlineStr">
        <is>
          <t>VRL</t>
        </is>
      </c>
      <c r="C2232" t="inlineStr">
        <is>
          <t>Verity Resources Ltd</t>
        </is>
      </c>
      <c r="D2232" t="inlineStr">
        <is>
          <t>AUD</t>
        </is>
      </c>
      <c r="E2232" t="inlineStr">
        <is>
          <t>ASX</t>
        </is>
      </c>
    </row>
    <row r="2233">
      <c r="B2233" t="inlineStr">
        <is>
          <t>CDR</t>
        </is>
      </c>
      <c r="C2233" t="inlineStr">
        <is>
          <t>Codrus Minerals Ltd</t>
        </is>
      </c>
      <c r="D2233" t="inlineStr">
        <is>
          <t>AUD</t>
        </is>
      </c>
      <c r="E2233" t="inlineStr">
        <is>
          <t>ASX</t>
        </is>
      </c>
    </row>
    <row r="2234">
      <c r="B2234" t="inlineStr">
        <is>
          <t>PVW</t>
        </is>
      </c>
      <c r="C2234" t="inlineStr">
        <is>
          <t>PVW Resources Ltd</t>
        </is>
      </c>
      <c r="D2234" t="inlineStr">
        <is>
          <t>AUD</t>
        </is>
      </c>
      <c r="E2234" t="inlineStr">
        <is>
          <t>ASX</t>
        </is>
      </c>
    </row>
    <row r="2235">
      <c r="B2235" t="inlineStr">
        <is>
          <t>RDS</t>
        </is>
      </c>
      <c r="C2235" t="inlineStr">
        <is>
          <t>Redstone Resources Ltd</t>
        </is>
      </c>
      <c r="D2235" t="inlineStr">
        <is>
          <t>AUD</t>
        </is>
      </c>
      <c r="E2235" t="inlineStr">
        <is>
          <t>ASX</t>
        </is>
      </c>
    </row>
    <row r="2236">
      <c r="B2236" t="inlineStr">
        <is>
          <t>TMB</t>
        </is>
      </c>
      <c r="C2236" t="inlineStr">
        <is>
          <t>Tambourah Metals Ltd</t>
        </is>
      </c>
      <c r="D2236" t="inlineStr">
        <is>
          <t>AUD</t>
        </is>
      </c>
      <c r="E2236" t="inlineStr">
        <is>
          <t>ASX</t>
        </is>
      </c>
    </row>
    <row r="2237">
      <c r="B2237" t="inlineStr">
        <is>
          <t>MPR</t>
        </is>
      </c>
      <c r="C2237" t="inlineStr">
        <is>
          <t>Mpower Group Ltd</t>
        </is>
      </c>
      <c r="D2237" t="inlineStr">
        <is>
          <t>AUD</t>
        </is>
      </c>
      <c r="E2237" t="inlineStr">
        <is>
          <t>ASX</t>
        </is>
      </c>
    </row>
    <row r="2238">
      <c r="B2238" t="inlineStr">
        <is>
          <t>PIM</t>
        </is>
      </c>
      <c r="C2238" t="inlineStr">
        <is>
          <t>Pinnacle Minerals Ltd</t>
        </is>
      </c>
      <c r="D2238" t="inlineStr">
        <is>
          <t>AUD</t>
        </is>
      </c>
      <c r="E2238" t="inlineStr">
        <is>
          <t>ASX</t>
        </is>
      </c>
    </row>
    <row r="2239">
      <c r="B2239" t="inlineStr">
        <is>
          <t>WEL</t>
        </is>
      </c>
      <c r="C2239" t="inlineStr">
        <is>
          <t>Winchester Energy Ltd</t>
        </is>
      </c>
      <c r="D2239" t="inlineStr">
        <is>
          <t>AUD</t>
        </is>
      </c>
      <c r="E2239" t="inlineStr">
        <is>
          <t>ASX</t>
        </is>
      </c>
    </row>
    <row r="2240">
      <c r="B2240" t="inlineStr">
        <is>
          <t>CGO</t>
        </is>
      </c>
      <c r="C2240" t="inlineStr">
        <is>
          <t>CPT Global Ltd</t>
        </is>
      </c>
      <c r="D2240" t="inlineStr">
        <is>
          <t>AUD</t>
        </is>
      </c>
      <c r="E2240" t="inlineStr">
        <is>
          <t>ASX</t>
        </is>
      </c>
    </row>
    <row r="2241">
      <c r="B2241" t="inlineStr">
        <is>
          <t>RML</t>
        </is>
      </c>
      <c r="C2241" t="inlineStr">
        <is>
          <t>Resolution Minerals Ltd</t>
        </is>
      </c>
      <c r="D2241" t="inlineStr">
        <is>
          <t>AUD</t>
        </is>
      </c>
      <c r="E2241" t="inlineStr">
        <is>
          <t>ASX</t>
        </is>
      </c>
    </row>
    <row r="2242">
      <c r="B2242" t="inlineStr">
        <is>
          <t>BOA</t>
        </is>
      </c>
      <c r="C2242" t="inlineStr">
        <is>
          <t>BOA Resources Ltd</t>
        </is>
      </c>
      <c r="D2242" t="inlineStr">
        <is>
          <t>AUD</t>
        </is>
      </c>
      <c r="E2242" t="inlineStr">
        <is>
          <t>ASX</t>
        </is>
      </c>
    </row>
    <row r="2243">
      <c r="B2243" t="inlineStr">
        <is>
          <t>LSR</t>
        </is>
      </c>
      <c r="C2243" t="inlineStr">
        <is>
          <t>Lodestar Minerals Ltd</t>
        </is>
      </c>
      <c r="D2243" t="inlineStr">
        <is>
          <t>AUD</t>
        </is>
      </c>
      <c r="E2243" t="inlineStr">
        <is>
          <t>ASX</t>
        </is>
      </c>
    </row>
    <row r="2244">
      <c r="B2244" t="inlineStr">
        <is>
          <t>DMM</t>
        </is>
      </c>
      <c r="C2244" t="inlineStr">
        <is>
          <t>DMC Mining Ltd</t>
        </is>
      </c>
      <c r="D2244" t="inlineStr">
        <is>
          <t>AUD</t>
        </is>
      </c>
      <c r="E2244" t="inlineStr">
        <is>
          <t>ASX</t>
        </is>
      </c>
    </row>
    <row r="2245">
      <c r="B2245" t="inlineStr">
        <is>
          <t>ETPMPD</t>
        </is>
      </c>
      <c r="C2245" t="inlineStr">
        <is>
          <t>Global X Metal Securities Australia Ltd</t>
        </is>
      </c>
      <c r="D2245" t="inlineStr">
        <is>
          <t>AUD</t>
        </is>
      </c>
      <c r="E2245" t="inlineStr">
        <is>
          <t>ASX</t>
        </is>
      </c>
    </row>
    <row r="2246">
      <c r="B2246" t="inlineStr">
        <is>
          <t>OLY</t>
        </is>
      </c>
      <c r="C2246" t="inlineStr">
        <is>
          <t>Olympio Metals Ltd</t>
        </is>
      </c>
      <c r="D2246" t="inlineStr">
        <is>
          <t>AUD</t>
        </is>
      </c>
      <c r="E2246" t="inlineStr">
        <is>
          <t>ASX</t>
        </is>
      </c>
    </row>
    <row r="2247">
      <c r="B2247" t="inlineStr">
        <is>
          <t>FIN</t>
        </is>
      </c>
      <c r="C2247" t="inlineStr">
        <is>
          <t>FIN Resources Ltd</t>
        </is>
      </c>
      <c r="D2247" t="inlineStr">
        <is>
          <t>AUD</t>
        </is>
      </c>
      <c r="E2247" t="inlineStr">
        <is>
          <t>ASX</t>
        </is>
      </c>
    </row>
    <row r="2248">
      <c r="B2248" t="inlineStr">
        <is>
          <t>RBR</t>
        </is>
      </c>
      <c r="C2248" t="inlineStr">
        <is>
          <t>RBR Group Ltd</t>
        </is>
      </c>
      <c r="D2248" t="inlineStr">
        <is>
          <t>AUD</t>
        </is>
      </c>
      <c r="E2248" t="inlineStr">
        <is>
          <t>ASX</t>
        </is>
      </c>
    </row>
    <row r="2249">
      <c r="B2249" t="inlineStr">
        <is>
          <t>SKN</t>
        </is>
      </c>
      <c r="C2249" t="inlineStr">
        <is>
          <t>Skin Elements Ltd</t>
        </is>
      </c>
      <c r="D2249" t="inlineStr">
        <is>
          <t>AUD</t>
        </is>
      </c>
      <c r="E2249" t="inlineStr">
        <is>
          <t>ASX</t>
        </is>
      </c>
    </row>
    <row r="2250">
      <c r="B2250" t="inlineStr">
        <is>
          <t>MRZ</t>
        </is>
      </c>
      <c r="C2250" t="inlineStr">
        <is>
          <t>Mont Royal Resources Ltd</t>
        </is>
      </c>
      <c r="D2250" t="inlineStr">
        <is>
          <t>AUD</t>
        </is>
      </c>
      <c r="E2250" t="inlineStr">
        <is>
          <t>ASX</t>
        </is>
      </c>
    </row>
    <row r="2251">
      <c r="B2251" t="inlineStr">
        <is>
          <t>LKY</t>
        </is>
      </c>
      <c r="C2251" t="inlineStr">
        <is>
          <t>Locksley Resources Ltd</t>
        </is>
      </c>
      <c r="D2251" t="inlineStr">
        <is>
          <t>AUD</t>
        </is>
      </c>
      <c r="E2251" t="inlineStr">
        <is>
          <t>ASX</t>
        </is>
      </c>
    </row>
    <row r="2252">
      <c r="B2252" t="inlineStr">
        <is>
          <t>CMO</t>
        </is>
      </c>
      <c r="C2252" t="inlineStr">
        <is>
          <t>Cosmo Metals Ltd</t>
        </is>
      </c>
      <c r="D2252" t="inlineStr">
        <is>
          <t>AUD</t>
        </is>
      </c>
      <c r="E2252" t="inlineStr">
        <is>
          <t>ASX</t>
        </is>
      </c>
    </row>
    <row r="2253">
      <c r="B2253" t="inlineStr">
        <is>
          <t>PNT</t>
        </is>
      </c>
      <c r="C2253" t="inlineStr">
        <is>
          <t>Panther Metals Ltd</t>
        </is>
      </c>
      <c r="D2253" t="inlineStr">
        <is>
          <t>AUD</t>
        </is>
      </c>
      <c r="E2253" t="inlineStr">
        <is>
          <t>ASX</t>
        </is>
      </c>
    </row>
    <row r="2254">
      <c r="B2254" t="inlineStr">
        <is>
          <t>SFM</t>
        </is>
      </c>
      <c r="C2254" t="inlineStr">
        <is>
          <t>Santa Fe Minerals Ltd</t>
        </is>
      </c>
      <c r="D2254" t="inlineStr">
        <is>
          <t>AUD</t>
        </is>
      </c>
      <c r="E2254" t="inlineStr">
        <is>
          <t>ASX</t>
        </is>
      </c>
    </row>
    <row r="2255">
      <c r="B2255" t="inlineStr">
        <is>
          <t>PLG</t>
        </is>
      </c>
      <c r="C2255" t="inlineStr">
        <is>
          <t>Pearl Gull Iron Ltd</t>
        </is>
      </c>
      <c r="D2255" t="inlineStr">
        <is>
          <t>AUD</t>
        </is>
      </c>
      <c r="E2255" t="inlineStr">
        <is>
          <t>ASX</t>
        </is>
      </c>
    </row>
    <row r="2256">
      <c r="B2256" t="inlineStr">
        <is>
          <t>FRS</t>
        </is>
      </c>
      <c r="C2256" t="inlineStr">
        <is>
          <t>Forrestania Resources Ltd</t>
        </is>
      </c>
      <c r="D2256" t="inlineStr">
        <is>
          <t>AUD</t>
        </is>
      </c>
      <c r="E2256" t="inlineStr">
        <is>
          <t>ASX</t>
        </is>
      </c>
    </row>
    <row r="2257">
      <c r="B2257" t="inlineStr">
        <is>
          <t>PKD</t>
        </is>
      </c>
      <c r="C2257" t="inlineStr">
        <is>
          <t>Parkd Ltd</t>
        </is>
      </c>
      <c r="D2257" t="inlineStr">
        <is>
          <t>AUD</t>
        </is>
      </c>
      <c r="E2257" t="inlineStr">
        <is>
          <t>ASX</t>
        </is>
      </c>
    </row>
    <row r="2258">
      <c r="B2258" t="inlineStr">
        <is>
          <t>CZN</t>
        </is>
      </c>
      <c r="C2258" t="inlineStr">
        <is>
          <t>Corazon Mining Ltd</t>
        </is>
      </c>
      <c r="D2258" t="inlineStr">
        <is>
          <t>AUD</t>
        </is>
      </c>
      <c r="E2258" t="inlineStr">
        <is>
          <t>ASX</t>
        </is>
      </c>
    </row>
    <row r="2259">
      <c r="B2259" t="inlineStr">
        <is>
          <t>ABE</t>
        </is>
      </c>
      <c r="C2259" t="inlineStr">
        <is>
          <t>Australian Bond Exchange Holdings Ltd</t>
        </is>
      </c>
      <c r="D2259" t="inlineStr">
        <is>
          <t>AUD</t>
        </is>
      </c>
      <c r="E2259" t="inlineStr">
        <is>
          <t>ASX</t>
        </is>
      </c>
    </row>
    <row r="2260">
      <c r="B2260" t="inlineStr">
        <is>
          <t>VIP</t>
        </is>
      </c>
      <c r="C2260" t="inlineStr">
        <is>
          <t>VIP Gloves Ltd</t>
        </is>
      </c>
      <c r="D2260" t="inlineStr">
        <is>
          <t>AUD</t>
        </is>
      </c>
      <c r="E2260" t="inlineStr">
        <is>
          <t>ASX</t>
        </is>
      </c>
    </row>
    <row r="2261">
      <c r="B2261" t="inlineStr">
        <is>
          <t>AM7</t>
        </is>
      </c>
      <c r="C2261" t="inlineStr">
        <is>
          <t>Arcadia Minerals Ltd</t>
        </is>
      </c>
      <c r="D2261" t="inlineStr">
        <is>
          <t>AUD</t>
        </is>
      </c>
      <c r="E2261" t="inlineStr">
        <is>
          <t>ASX</t>
        </is>
      </c>
    </row>
    <row r="2262">
      <c r="B2262" t="inlineStr">
        <is>
          <t>OEQ</t>
        </is>
      </c>
      <c r="C2262" t="inlineStr">
        <is>
          <t>Orion Equities Ltd</t>
        </is>
      </c>
      <c r="D2262" t="inlineStr">
        <is>
          <t>AUD</t>
        </is>
      </c>
      <c r="E2262" t="inlineStr">
        <is>
          <t>ASX</t>
        </is>
      </c>
    </row>
    <row r="2263">
      <c r="B2263" t="inlineStr">
        <is>
          <t>MRD</t>
        </is>
      </c>
      <c r="C2263" t="inlineStr">
        <is>
          <t>Mount Ridley Mines Ltd</t>
        </is>
      </c>
      <c r="D2263" t="inlineStr">
        <is>
          <t>AUD</t>
        </is>
      </c>
      <c r="E2263" t="inlineStr">
        <is>
          <t>ASX</t>
        </is>
      </c>
    </row>
    <row r="2264">
      <c r="B2264" t="inlineStr">
        <is>
          <t>RLC</t>
        </is>
      </c>
      <c r="C2264" t="inlineStr">
        <is>
          <t>Reedy Lagoon Corporation Ltd</t>
        </is>
      </c>
      <c r="D2264" t="inlineStr">
        <is>
          <t>AUD</t>
        </is>
      </c>
      <c r="E2264" t="inlineStr">
        <is>
          <t>ASX</t>
        </is>
      </c>
    </row>
    <row r="2265">
      <c r="B2265" t="inlineStr">
        <is>
          <t>GNM</t>
        </is>
      </c>
      <c r="C2265" t="inlineStr">
        <is>
          <t>Great Northern Minerals Ltd</t>
        </is>
      </c>
      <c r="D2265" t="inlineStr">
        <is>
          <t>AUD</t>
        </is>
      </c>
      <c r="E2265" t="inlineStr">
        <is>
          <t>ASX</t>
        </is>
      </c>
    </row>
    <row r="2266">
      <c r="B2266" t="inlineStr">
        <is>
          <t>AKN</t>
        </is>
      </c>
      <c r="C2266" t="inlineStr">
        <is>
          <t>Auking Mining Ltd</t>
        </is>
      </c>
      <c r="D2266" t="inlineStr">
        <is>
          <t>AUD</t>
        </is>
      </c>
      <c r="E2266" t="inlineStr">
        <is>
          <t>ASX</t>
        </is>
      </c>
    </row>
    <row r="2267">
      <c r="B2267" t="inlineStr">
        <is>
          <t>CYQ</t>
        </is>
      </c>
      <c r="C2267" t="inlineStr">
        <is>
          <t>CYCLIQ Group Ltd</t>
        </is>
      </c>
      <c r="D2267" t="inlineStr">
        <is>
          <t>AUD</t>
        </is>
      </c>
      <c r="E2267" t="inlineStr">
        <is>
          <t>ASX</t>
        </is>
      </c>
    </row>
    <row r="2268">
      <c r="B2268" t="inlineStr">
        <is>
          <t>IEAT</t>
        </is>
      </c>
      <c r="C2268" t="inlineStr">
        <is>
          <t>Betashares Future of Food ETF</t>
        </is>
      </c>
      <c r="D2268" t="inlineStr">
        <is>
          <t>AUD</t>
        </is>
      </c>
      <c r="E2268" t="inlineStr">
        <is>
          <t>ASX</t>
        </is>
      </c>
    </row>
    <row r="2269">
      <c r="B2269" t="inlineStr">
        <is>
          <t>GGFD</t>
        </is>
      </c>
      <c r="C2269" t="inlineStr">
        <is>
          <t>Betashares Geared Long US TR Bond CH (Hedge Fund)</t>
        </is>
      </c>
      <c r="D2269" t="inlineStr">
        <is>
          <t>AUD</t>
        </is>
      </c>
      <c r="E2269" t="inlineStr">
        <is>
          <t>ASX</t>
        </is>
      </c>
    </row>
    <row r="2270">
      <c r="B2270" t="inlineStr">
        <is>
          <t>GSM</t>
        </is>
      </c>
      <c r="C2270" t="inlineStr">
        <is>
          <t>Golden State Mining Ltd</t>
        </is>
      </c>
      <c r="D2270" t="inlineStr">
        <is>
          <t>AUD</t>
        </is>
      </c>
      <c r="E2270" t="inlineStr">
        <is>
          <t>ASX</t>
        </is>
      </c>
    </row>
    <row r="2271">
      <c r="B2271" t="inlineStr">
        <is>
          <t>AAJ</t>
        </is>
      </c>
      <c r="C2271" t="inlineStr">
        <is>
          <t>Aruma Resources Ltd</t>
        </is>
      </c>
      <c r="D2271" t="inlineStr">
        <is>
          <t>AUD</t>
        </is>
      </c>
      <c r="E2271" t="inlineStr">
        <is>
          <t>ASX</t>
        </is>
      </c>
    </row>
    <row r="2272">
      <c r="B2272" t="inlineStr">
        <is>
          <t>BSN</t>
        </is>
      </c>
      <c r="C2272" t="inlineStr">
        <is>
          <t>Basin Energy Ltd</t>
        </is>
      </c>
      <c r="D2272" t="inlineStr">
        <is>
          <t>AUD</t>
        </is>
      </c>
      <c r="E2272" t="inlineStr">
        <is>
          <t>ASX</t>
        </is>
      </c>
    </row>
    <row r="2273">
      <c r="B2273" t="inlineStr">
        <is>
          <t>CRB</t>
        </is>
      </c>
      <c r="C2273" t="inlineStr">
        <is>
          <t>Carbine Resources Ltd</t>
        </is>
      </c>
      <c r="D2273" t="inlineStr">
        <is>
          <t>AUD</t>
        </is>
      </c>
      <c r="E2273" t="inlineStr">
        <is>
          <t>ASX</t>
        </is>
      </c>
    </row>
    <row r="2274">
      <c r="B2274" t="inlineStr">
        <is>
          <t>GCR</t>
        </is>
      </c>
      <c r="C2274" t="inlineStr">
        <is>
          <t>Golden Cross Resources Ltd</t>
        </is>
      </c>
      <c r="D2274" t="inlineStr">
        <is>
          <t>AUD</t>
        </is>
      </c>
      <c r="E2274" t="inlineStr">
        <is>
          <t>ASX</t>
        </is>
      </c>
    </row>
    <row r="2275">
      <c r="B2275" t="inlineStr">
        <is>
          <t>AOA</t>
        </is>
      </c>
      <c r="C2275" t="inlineStr">
        <is>
          <t>Ausmon Resources Ltd</t>
        </is>
      </c>
      <c r="D2275" t="inlineStr">
        <is>
          <t>AUD</t>
        </is>
      </c>
      <c r="E2275" t="inlineStr">
        <is>
          <t>ASX</t>
        </is>
      </c>
    </row>
    <row r="2276">
      <c r="B2276" t="inlineStr">
        <is>
          <t>HXL</t>
        </is>
      </c>
      <c r="C2276" t="inlineStr">
        <is>
          <t>Hexima Ltd</t>
        </is>
      </c>
      <c r="D2276" t="inlineStr">
        <is>
          <t>AUD</t>
        </is>
      </c>
      <c r="E2276" t="inlineStr">
        <is>
          <t>ASX</t>
        </is>
      </c>
    </row>
    <row r="2277">
      <c r="B2277" t="inlineStr">
        <is>
          <t>CNJ</t>
        </is>
      </c>
      <c r="C2277" t="inlineStr">
        <is>
          <t>Conico Ltd</t>
        </is>
      </c>
      <c r="D2277" t="inlineStr">
        <is>
          <t>AUD</t>
        </is>
      </c>
      <c r="E2277" t="inlineStr">
        <is>
          <t>ASX</t>
        </is>
      </c>
    </row>
    <row r="2278">
      <c r="B2278" t="inlineStr">
        <is>
          <t>TKL</t>
        </is>
      </c>
      <c r="C2278" t="inlineStr">
        <is>
          <t>Traka Resources Ltd</t>
        </is>
      </c>
      <c r="D2278" t="inlineStr">
        <is>
          <t>AUD</t>
        </is>
      </c>
      <c r="E2278" t="inlineStr">
        <is>
          <t>ASX</t>
        </is>
      </c>
    </row>
    <row r="2279">
      <c r="B2279" t="inlineStr">
        <is>
          <t>SQX</t>
        </is>
      </c>
      <c r="C2279" t="inlineStr">
        <is>
          <t>SQX Resources Ltd</t>
        </is>
      </c>
      <c r="D2279" t="inlineStr">
        <is>
          <t>AUD</t>
        </is>
      </c>
      <c r="E2279" t="inlineStr">
        <is>
          <t>ASX</t>
        </is>
      </c>
    </row>
    <row r="2280">
      <c r="B2280" t="inlineStr">
        <is>
          <t>GGAB</t>
        </is>
      </c>
      <c r="C2280" t="inlineStr">
        <is>
          <t>Betashares Geared Long Aus GOV Bond (Hedge Fund)</t>
        </is>
      </c>
      <c r="D2280" t="inlineStr">
        <is>
          <t>AUD</t>
        </is>
      </c>
      <c r="E2280" t="inlineStr">
        <is>
          <t>ASX</t>
        </is>
      </c>
    </row>
    <row r="2281">
      <c r="B2281" t="inlineStr">
        <is>
          <t>MTB</t>
        </is>
      </c>
      <c r="C2281" t="inlineStr">
        <is>
          <t>Mount Burgess Mining NL</t>
        </is>
      </c>
      <c r="D2281" t="inlineStr">
        <is>
          <t>AUD</t>
        </is>
      </c>
      <c r="E2281" t="inlineStr">
        <is>
          <t>ASX</t>
        </is>
      </c>
    </row>
    <row r="2282">
      <c r="B2282" t="inlineStr">
        <is>
          <t>WBE</t>
        </is>
      </c>
      <c r="C2282" t="inlineStr">
        <is>
          <t>Whitebark Energy Ltd</t>
        </is>
      </c>
      <c r="D2282" t="inlineStr">
        <is>
          <t>AUD</t>
        </is>
      </c>
      <c r="E2282" t="inlineStr">
        <is>
          <t>ASX</t>
        </is>
      </c>
    </row>
    <row r="2283">
      <c r="B2283" t="inlineStr">
        <is>
          <t>BYH</t>
        </is>
      </c>
      <c r="C2283" t="inlineStr">
        <is>
          <t>Bryah Resources Ltd</t>
        </is>
      </c>
      <c r="D2283" t="inlineStr">
        <is>
          <t>AUD</t>
        </is>
      </c>
      <c r="E2283" t="inlineStr">
        <is>
          <t>ASX</t>
        </is>
      </c>
    </row>
    <row r="2284">
      <c r="B2284" t="inlineStr">
        <is>
          <t>AO1</t>
        </is>
      </c>
      <c r="C2284" t="inlineStr">
        <is>
          <t>Assetowl Ltd</t>
        </is>
      </c>
      <c r="D2284" t="inlineStr">
        <is>
          <t>AUD</t>
        </is>
      </c>
      <c r="E2284" t="inlineStr">
        <is>
          <t>ASX</t>
        </is>
      </c>
    </row>
    <row r="2285">
      <c r="B2285" t="inlineStr">
        <is>
          <t>E79</t>
        </is>
      </c>
      <c r="C2285" t="inlineStr">
        <is>
          <t>E79 Gold Mines Ltd</t>
        </is>
      </c>
      <c r="D2285" t="inlineStr">
        <is>
          <t>AUD</t>
        </is>
      </c>
      <c r="E2285" t="inlineStr">
        <is>
          <t>ASX</t>
        </is>
      </c>
    </row>
    <row r="2286">
      <c r="B2286" t="inlineStr">
        <is>
          <t>T3MP</t>
        </is>
      </c>
      <c r="C2286" t="inlineStr">
        <is>
          <t>Jpmorgan Climate CHG Sol Active ETF (Managed Fund)</t>
        </is>
      </c>
      <c r="D2286" t="inlineStr">
        <is>
          <t>AUD</t>
        </is>
      </c>
      <c r="E2286" t="inlineStr">
        <is>
          <t>ASX</t>
        </is>
      </c>
    </row>
    <row r="2287">
      <c r="B2287" t="inlineStr">
        <is>
          <t>IVT</t>
        </is>
      </c>
      <c r="C2287" t="inlineStr">
        <is>
          <t>Inventis Ltd</t>
        </is>
      </c>
      <c r="D2287" t="inlineStr">
        <is>
          <t>AUD</t>
        </is>
      </c>
      <c r="E2287" t="inlineStr">
        <is>
          <t>ASX</t>
        </is>
      </c>
    </row>
    <row r="2288">
      <c r="B2288" t="inlineStr">
        <is>
          <t>LYK</t>
        </is>
      </c>
      <c r="C2288" t="inlineStr">
        <is>
          <t>Lykos Metals Ltd</t>
        </is>
      </c>
      <c r="D2288" t="inlineStr">
        <is>
          <t>AUD</t>
        </is>
      </c>
      <c r="E2288" t="inlineStr">
        <is>
          <t>ASX</t>
        </is>
      </c>
    </row>
    <row r="2289">
      <c r="B2289" t="inlineStr">
        <is>
          <t>KFM</t>
        </is>
      </c>
      <c r="C2289" t="inlineStr">
        <is>
          <t>Kingfisher Mining Ltd</t>
        </is>
      </c>
      <c r="D2289" t="inlineStr">
        <is>
          <t>AUD</t>
        </is>
      </c>
      <c r="E2289" t="inlineStr">
        <is>
          <t>ASX</t>
        </is>
      </c>
    </row>
    <row r="2290">
      <c r="B2290" t="inlineStr">
        <is>
          <t>HCD</t>
        </is>
      </c>
      <c r="C2290" t="inlineStr">
        <is>
          <t>Hydrocarbon Dynamics Ltd</t>
        </is>
      </c>
      <c r="D2290" t="inlineStr">
        <is>
          <t>AUD</t>
        </is>
      </c>
      <c r="E2290" t="inlineStr">
        <is>
          <t>ASX</t>
        </is>
      </c>
    </row>
    <row r="2291">
      <c r="B2291" t="inlineStr">
        <is>
          <t>RAS</t>
        </is>
      </c>
      <c r="C2291" t="inlineStr">
        <is>
          <t>Ragusa Minerals Ltd</t>
        </is>
      </c>
      <c r="D2291" t="inlineStr">
        <is>
          <t>AUD</t>
        </is>
      </c>
      <c r="E2291" t="inlineStr">
        <is>
          <t>ASX</t>
        </is>
      </c>
    </row>
    <row r="2292">
      <c r="B2292" t="inlineStr">
        <is>
          <t>DY6</t>
        </is>
      </c>
      <c r="C2292" t="inlineStr">
        <is>
          <t>DY6 Metals Ltd</t>
        </is>
      </c>
      <c r="D2292" t="inlineStr">
        <is>
          <t>AUD</t>
        </is>
      </c>
      <c r="E2292" t="inlineStr">
        <is>
          <t>ASX</t>
        </is>
      </c>
    </row>
    <row r="2293">
      <c r="B2293" t="inlineStr">
        <is>
          <t>H2G</t>
        </is>
      </c>
      <c r="C2293" t="inlineStr">
        <is>
          <t>GREENHY2 Ltd</t>
        </is>
      </c>
      <c r="D2293" t="inlineStr">
        <is>
          <t>AUD</t>
        </is>
      </c>
      <c r="E2293" t="inlineStr">
        <is>
          <t>ASX</t>
        </is>
      </c>
    </row>
    <row r="2294">
      <c r="B2294" t="inlineStr">
        <is>
          <t>SRH</t>
        </is>
      </c>
      <c r="C2294" t="inlineStr">
        <is>
          <t>Saferoads Holdings Ltd</t>
        </is>
      </c>
      <c r="D2294" t="inlineStr">
        <is>
          <t>AUD</t>
        </is>
      </c>
      <c r="E2294" t="inlineStr">
        <is>
          <t>ASX</t>
        </is>
      </c>
    </row>
    <row r="2295">
      <c r="B2295" t="inlineStr">
        <is>
          <t>IS3</t>
        </is>
      </c>
      <c r="C2295" t="inlineStr">
        <is>
          <t>I Synergy Group Ltd</t>
        </is>
      </c>
      <c r="D2295" t="inlineStr">
        <is>
          <t>AUD</t>
        </is>
      </c>
      <c r="E2295" t="inlineStr">
        <is>
          <t>ASX</t>
        </is>
      </c>
    </row>
    <row r="2296">
      <c r="B2296" t="inlineStr">
        <is>
          <t>RNE</t>
        </is>
      </c>
      <c r="C2296" t="inlineStr">
        <is>
          <t>Renu Energy Ltd</t>
        </is>
      </c>
      <c r="D2296" t="inlineStr">
        <is>
          <t>AUD</t>
        </is>
      </c>
      <c r="E2296" t="inlineStr">
        <is>
          <t>ASX</t>
        </is>
      </c>
    </row>
    <row r="2297">
      <c r="B2297" t="inlineStr">
        <is>
          <t>T3D</t>
        </is>
      </c>
      <c r="C2297" t="inlineStr">
        <is>
          <t>333D Ltd</t>
        </is>
      </c>
      <c r="D2297" t="inlineStr">
        <is>
          <t>AUD</t>
        </is>
      </c>
      <c r="E2297" t="inlineStr">
        <is>
          <t>ASX</t>
        </is>
      </c>
    </row>
    <row r="2298">
      <c r="B2298" t="inlineStr">
        <is>
          <t>TANN</t>
        </is>
      </c>
      <c r="C2298" t="inlineStr">
        <is>
          <t>Betashares Solar ETF</t>
        </is>
      </c>
      <c r="D2298" t="inlineStr">
        <is>
          <t>AUD</t>
        </is>
      </c>
      <c r="E2298" t="inlineStr">
        <is>
          <t>ASX</t>
        </is>
      </c>
    </row>
    <row r="2299">
      <c r="B2299" t="inlineStr">
        <is>
          <t>AIV</t>
        </is>
      </c>
      <c r="C2299" t="inlineStr">
        <is>
          <t>Activex Ltd</t>
        </is>
      </c>
      <c r="D2299" t="inlineStr">
        <is>
          <t>AUD</t>
        </is>
      </c>
      <c r="E2299" t="inlineStr">
        <is>
          <t>ASX</t>
        </is>
      </c>
    </row>
    <row r="2300">
      <c r="B2300" t="inlineStr">
        <is>
          <t>EMS</t>
        </is>
      </c>
      <c r="C2300" t="inlineStr">
        <is>
          <t>Eastern Metals Ltd</t>
        </is>
      </c>
      <c r="D2300" t="inlineStr">
        <is>
          <t>AUD</t>
        </is>
      </c>
      <c r="E2300" t="inlineStr">
        <is>
          <t>ASX</t>
        </is>
      </c>
    </row>
    <row r="2301">
      <c r="B2301" t="inlineStr">
        <is>
          <t>EDOC</t>
        </is>
      </c>
      <c r="C2301" t="inlineStr">
        <is>
          <t>Betashares Digital Health and Telemedicine ETF</t>
        </is>
      </c>
      <c r="D2301" t="inlineStr">
        <is>
          <t>AUD</t>
        </is>
      </c>
      <c r="E2301" t="inlineStr">
        <is>
          <t>ASX</t>
        </is>
      </c>
    </row>
    <row r="2302">
      <c r="B2302" t="inlineStr">
        <is>
          <t>RIE</t>
        </is>
      </c>
      <c r="C2302" t="inlineStr">
        <is>
          <t>Riedel Resources Ltd</t>
        </is>
      </c>
      <c r="D2302" t="inlineStr">
        <is>
          <t>AUD</t>
        </is>
      </c>
      <c r="E2302" t="inlineStr">
        <is>
          <t>ASX</t>
        </is>
      </c>
    </row>
    <row r="2303">
      <c r="B2303" t="inlineStr">
        <is>
          <t>DBO</t>
        </is>
      </c>
      <c r="C2303" t="inlineStr">
        <is>
          <t>Diablo Resources Ltd</t>
        </is>
      </c>
      <c r="D2303" t="inlineStr">
        <is>
          <t>AUD</t>
        </is>
      </c>
      <c r="E2303" t="inlineStr">
        <is>
          <t>ASX</t>
        </is>
      </c>
    </row>
    <row r="2304">
      <c r="B2304" t="inlineStr">
        <is>
          <t>OAK</t>
        </is>
      </c>
      <c r="C2304" t="inlineStr">
        <is>
          <t>Oakridge International Ltd</t>
        </is>
      </c>
      <c r="D2304" t="inlineStr">
        <is>
          <t>AUD</t>
        </is>
      </c>
      <c r="E2304" t="inlineStr">
        <is>
          <t>ASX</t>
        </is>
      </c>
    </row>
    <row r="2305">
      <c r="B2305" t="inlineStr">
        <is>
          <t>LRD</t>
        </is>
      </c>
      <c r="C2305" t="inlineStr">
        <is>
          <t>Lord Resources Ltd</t>
        </is>
      </c>
      <c r="D2305" t="inlineStr">
        <is>
          <t>AUD</t>
        </is>
      </c>
      <c r="E2305" t="inlineStr">
        <is>
          <t>ASX</t>
        </is>
      </c>
    </row>
    <row r="2306">
      <c r="B2306" t="inlineStr">
        <is>
          <t>M2R</t>
        </is>
      </c>
      <c r="C2306" t="inlineStr">
        <is>
          <t>Miramar Resources Ltd</t>
        </is>
      </c>
      <c r="D2306" t="inlineStr">
        <is>
          <t>AUD</t>
        </is>
      </c>
      <c r="E2306" t="inlineStr">
        <is>
          <t>ASX</t>
        </is>
      </c>
    </row>
    <row r="2307">
      <c r="B2307" t="inlineStr">
        <is>
          <t>DMG</t>
        </is>
      </c>
      <c r="C2307" t="inlineStr">
        <is>
          <t>Dragon Mountain Gold Ltd</t>
        </is>
      </c>
      <c r="D2307" t="inlineStr">
        <is>
          <t>AUD</t>
        </is>
      </c>
      <c r="E2307" t="inlineStr">
        <is>
          <t>ASX</t>
        </is>
      </c>
    </row>
    <row r="2308">
      <c r="B2308" t="inlineStr">
        <is>
          <t>PRM</t>
        </is>
      </c>
      <c r="C2308" t="inlineStr">
        <is>
          <t>Prominence Energy Ltd</t>
        </is>
      </c>
      <c r="D2308" t="inlineStr">
        <is>
          <t>AUD</t>
        </is>
      </c>
      <c r="E2308" t="inlineStr">
        <is>
          <t>ASX</t>
        </is>
      </c>
    </row>
    <row r="2309">
      <c r="B2309" t="inlineStr">
        <is>
          <t>CLZ</t>
        </is>
      </c>
      <c r="C2309" t="inlineStr">
        <is>
          <t>Classic Minerals Ltd</t>
        </is>
      </c>
      <c r="D2309" t="inlineStr">
        <is>
          <t>AUD</t>
        </is>
      </c>
      <c r="E2309" t="inlineStr">
        <is>
          <t>ASX</t>
        </is>
      </c>
    </row>
    <row r="2310">
      <c r="B2310" t="inlineStr">
        <is>
          <t>FUTR</t>
        </is>
      </c>
      <c r="C2310" t="inlineStr">
        <is>
          <t>Janus Henderson Global Sustainable EQ Active ETF</t>
        </is>
      </c>
      <c r="D2310" t="inlineStr">
        <is>
          <t>AUD</t>
        </is>
      </c>
      <c r="E2310" t="inlineStr">
        <is>
          <t>ASX</t>
        </is>
      </c>
    </row>
    <row r="2311">
      <c r="B2311" t="inlineStr">
        <is>
          <t>SRY</t>
        </is>
      </c>
      <c r="C2311" t="inlineStr">
        <is>
          <t>Story-I Ltd</t>
        </is>
      </c>
      <c r="D2311" t="inlineStr">
        <is>
          <t>AUD</t>
        </is>
      </c>
      <c r="E2311" t="inlineStr">
        <is>
          <t>ASX</t>
        </is>
      </c>
    </row>
    <row r="2312">
      <c r="B2312" t="inlineStr">
        <is>
          <t>JHGA</t>
        </is>
      </c>
      <c r="C2312" t="inlineStr">
        <is>
          <t>JPM GBL Equity Premium Income Hedged Complex ETF</t>
        </is>
      </c>
      <c r="D2312" t="inlineStr">
        <is>
          <t>AUD</t>
        </is>
      </c>
      <c r="E2312" t="inlineStr">
        <is>
          <t>ASX</t>
        </is>
      </c>
    </row>
    <row r="2313">
      <c r="B2313" t="inlineStr">
        <is>
          <t>WFL</t>
        </is>
      </c>
      <c r="C2313" t="inlineStr">
        <is>
          <t>Wellfully Ltd</t>
        </is>
      </c>
      <c r="D2313" t="inlineStr">
        <is>
          <t>AUD</t>
        </is>
      </c>
      <c r="E2313" t="inlineStr">
        <is>
          <t>ASX</t>
        </is>
      </c>
    </row>
    <row r="2314">
      <c r="B2314" t="inlineStr">
        <is>
          <t>BP8</t>
        </is>
      </c>
      <c r="C2314" t="inlineStr">
        <is>
          <t>BPH Global Ltd</t>
        </is>
      </c>
      <c r="D2314" t="inlineStr">
        <is>
          <t>AUD</t>
        </is>
      </c>
      <c r="E2314" t="inlineStr">
        <is>
          <t>ASX</t>
        </is>
      </c>
    </row>
    <row r="2315">
      <c r="B2315" t="inlineStr">
        <is>
          <t>YAR</t>
        </is>
      </c>
      <c r="C2315" t="inlineStr">
        <is>
          <t>Yari Minerals Ltd</t>
        </is>
      </c>
      <c r="D2315" t="inlineStr">
        <is>
          <t>AUD</t>
        </is>
      </c>
      <c r="E2315" t="inlineStr">
        <is>
          <t>ASX</t>
        </is>
      </c>
    </row>
    <row r="2316">
      <c r="B2316" t="inlineStr">
        <is>
          <t>CR9</t>
        </is>
      </c>
      <c r="C2316" t="inlineStr">
        <is>
          <t>Corella Resources Ltd</t>
        </is>
      </c>
      <c r="D2316" t="inlineStr">
        <is>
          <t>AUD</t>
        </is>
      </c>
      <c r="E2316" t="inlineStr">
        <is>
          <t>ASX</t>
        </is>
      </c>
    </row>
    <row r="2317">
      <c r="B2317" t="inlineStr">
        <is>
          <t>SLZ</t>
        </is>
      </c>
      <c r="C2317" t="inlineStr">
        <is>
          <t>Sultan Resources Ltd</t>
        </is>
      </c>
      <c r="D2317" t="inlineStr">
        <is>
          <t>AUD</t>
        </is>
      </c>
      <c r="E2317" t="inlineStr">
        <is>
          <t>ASX</t>
        </is>
      </c>
    </row>
    <row r="2318">
      <c r="B2318" t="inlineStr">
        <is>
          <t>APC</t>
        </is>
      </c>
      <c r="C2318" t="inlineStr">
        <is>
          <t>APC Minerals Ltd</t>
        </is>
      </c>
      <c r="D2318" t="inlineStr">
        <is>
          <t>AUD</t>
        </is>
      </c>
      <c r="E2318" t="inlineStr">
        <is>
          <t>ASX</t>
        </is>
      </c>
    </row>
    <row r="2319">
      <c r="B2319" t="inlineStr">
        <is>
          <t>MKL</t>
        </is>
      </c>
      <c r="C2319" t="inlineStr">
        <is>
          <t>Mighty Kingdom Ltd</t>
        </is>
      </c>
      <c r="D2319" t="inlineStr">
        <is>
          <t>AUD</t>
        </is>
      </c>
      <c r="E2319" t="inlineStr">
        <is>
          <t>ASX</t>
        </is>
      </c>
    </row>
    <row r="2320">
      <c r="B2320" t="inlineStr">
        <is>
          <t>KEY</t>
        </is>
      </c>
      <c r="C2320" t="inlineStr">
        <is>
          <t>KEY Petroleum Ltd</t>
        </is>
      </c>
      <c r="D2320" t="inlineStr">
        <is>
          <t>AUD</t>
        </is>
      </c>
      <c r="E2320" t="inlineStr">
        <is>
          <t>ASX</t>
        </is>
      </c>
    </row>
    <row r="2321">
      <c r="B2321" t="inlineStr">
        <is>
          <t>BEL</t>
        </is>
      </c>
      <c r="C2321" t="inlineStr">
        <is>
          <t>Bentley Capital Ltd</t>
        </is>
      </c>
      <c r="D2321" t="inlineStr">
        <is>
          <t>AUD</t>
        </is>
      </c>
      <c r="E2321" t="inlineStr">
        <is>
          <t>ASX</t>
        </is>
      </c>
    </row>
    <row r="2322">
      <c r="B2322" t="inlineStr">
        <is>
          <t>BBFD</t>
        </is>
      </c>
      <c r="C2322" t="inlineStr">
        <is>
          <t>Betashares Geared Short US TR Bond CH (Hedge Fund)</t>
        </is>
      </c>
      <c r="D2322" t="inlineStr">
        <is>
          <t>AUD</t>
        </is>
      </c>
      <c r="E2322" t="inlineStr">
        <is>
          <t>ASX</t>
        </is>
      </c>
    </row>
    <row r="2323">
      <c r="B2323" t="inlineStr">
        <is>
          <t>KLR</t>
        </is>
      </c>
      <c r="C2323" t="inlineStr">
        <is>
          <t>Kaili Resources Ltd</t>
        </is>
      </c>
      <c r="D2323" t="inlineStr">
        <is>
          <t>AUD</t>
        </is>
      </c>
      <c r="E2323" t="inlineStr">
        <is>
          <t>ASX</t>
        </is>
      </c>
    </row>
    <row r="2324">
      <c r="B2324" t="inlineStr">
        <is>
          <t>ATM</t>
        </is>
      </c>
      <c r="C2324" t="inlineStr">
        <is>
          <t>Aneka Tambang (Persero) TBK (PT)</t>
        </is>
      </c>
      <c r="D2324" t="inlineStr">
        <is>
          <t>AUD</t>
        </is>
      </c>
      <c r="E2324" t="inlineStr">
        <is>
          <t>ASX</t>
        </is>
      </c>
    </row>
    <row r="2325">
      <c r="B2325" t="inlineStr">
        <is>
          <t>QUE</t>
        </is>
      </c>
      <c r="C2325" t="inlineStr">
        <is>
          <t>Queste Communications Ltd</t>
        </is>
      </c>
      <c r="D2325" t="inlineStr">
        <is>
          <t>AUD</t>
        </is>
      </c>
      <c r="E2325" t="inlineStr">
        <is>
          <t>ASX</t>
        </is>
      </c>
    </row>
    <row r="2326">
      <c r="B2326" t="inlineStr">
        <is>
          <t>WNR</t>
        </is>
      </c>
      <c r="C2326" t="inlineStr">
        <is>
          <t>Wingara AG Ltd</t>
        </is>
      </c>
      <c r="D2326" t="inlineStr">
        <is>
          <t>AUD</t>
        </is>
      </c>
      <c r="E2326" t="inlineStr">
        <is>
          <t>ASX</t>
        </is>
      </c>
    </row>
    <row r="2327">
      <c r="B2327" t="inlineStr">
        <is>
          <t>ASAO</t>
        </is>
      </c>
      <c r="C2327" t="inlineStr">
        <is>
          <t>ABRDN Sust Asian Opportunities Active ETF</t>
        </is>
      </c>
      <c r="D2327" t="inlineStr">
        <is>
          <t>AUD</t>
        </is>
      </c>
      <c r="E2327" t="inlineStr">
        <is>
          <t>ASX</t>
        </is>
      </c>
    </row>
    <row r="2328">
      <c r="B2328" t="inlineStr">
        <is>
          <t>SAN</t>
        </is>
      </c>
      <c r="C2328" t="inlineStr">
        <is>
          <t>Sagalio Energy Ltd</t>
        </is>
      </c>
      <c r="D2328" t="inlineStr">
        <is>
          <t>AUD</t>
        </is>
      </c>
      <c r="E2328" t="inlineStr">
        <is>
          <t>ASX</t>
        </is>
      </c>
    </row>
    <row r="2329">
      <c r="B2329" t="inlineStr">
        <is>
          <t>MSG</t>
        </is>
      </c>
      <c r="C2329" t="inlineStr">
        <is>
          <t>MCS Services Ltd</t>
        </is>
      </c>
      <c r="D2329" t="inlineStr">
        <is>
          <t>AUD</t>
        </is>
      </c>
      <c r="E2329" t="inlineStr">
        <is>
          <t>ASX</t>
        </is>
      </c>
    </row>
    <row r="2330">
      <c r="B2330" t="inlineStr">
        <is>
          <t>ULTB</t>
        </is>
      </c>
      <c r="C2330" t="inlineStr">
        <is>
          <t>Ishares 20+ Year U.S. Treasury Bond (Hedged) ETF</t>
        </is>
      </c>
      <c r="D2330" t="inlineStr">
        <is>
          <t>AUD</t>
        </is>
      </c>
      <c r="E2330" t="inlineStr">
        <is>
          <t>ASX</t>
        </is>
      </c>
    </row>
    <row r="2331">
      <c r="B2331" t="inlineStr">
        <is>
          <t>FHCO</t>
        </is>
      </c>
      <c r="C2331" t="inlineStr">
        <is>
          <t>Fidelity Australian High Conviction Active ETF</t>
        </is>
      </c>
      <c r="D2331" t="inlineStr">
        <is>
          <t>AUD</t>
        </is>
      </c>
      <c r="E2331" t="inlineStr">
        <is>
          <t>ASX</t>
        </is>
      </c>
    </row>
    <row r="2332">
      <c r="B2332" t="inlineStr">
        <is>
          <t>FCG</t>
        </is>
      </c>
      <c r="C2332" t="inlineStr">
        <is>
          <t>Freedom Care Group Holdings Ltd</t>
        </is>
      </c>
      <c r="D2332" t="inlineStr">
        <is>
          <t>AUD</t>
        </is>
      </c>
      <c r="E2332" t="inlineStr">
        <is>
          <t>ASX</t>
        </is>
      </c>
    </row>
    <row r="2333">
      <c r="B2333" t="inlineStr">
        <is>
          <t>JZRO</t>
        </is>
      </c>
      <c r="C2333" t="inlineStr">
        <is>
          <t>Janus Henderson Net ZERO Transition Active ETF</t>
        </is>
      </c>
      <c r="D2333" t="inlineStr">
        <is>
          <t>AUD</t>
        </is>
      </c>
      <c r="E2333" t="inlineStr">
        <is>
          <t>ASX</t>
        </is>
      </c>
    </row>
    <row r="2334">
      <c r="B2334" t="inlineStr">
        <is>
          <t>MSI</t>
        </is>
      </c>
      <c r="C2334" t="inlineStr">
        <is>
          <t>Multistack International Ltd</t>
        </is>
      </c>
      <c r="D2334" t="inlineStr">
        <is>
          <t>AUD</t>
        </is>
      </c>
      <c r="E2334" t="inlineStr">
        <is>
          <t>ASX</t>
        </is>
      </c>
    </row>
    <row r="2335">
      <c r="B2335" t="inlineStr">
        <is>
          <t>EM2R</t>
        </is>
      </c>
      <c r="C2335" t="inlineStr">
        <is>
          <t>Eagle Mountain Mining Ltd</t>
        </is>
      </c>
      <c r="D2335" t="inlineStr">
        <is>
          <t>AUD</t>
        </is>
      </c>
      <c r="E2335" t="inlineStr">
        <is>
          <t>ASX</t>
        </is>
      </c>
    </row>
    <row r="2336">
      <c r="B2336" t="inlineStr">
        <is>
          <t>GOOD</t>
        </is>
      </c>
      <c r="C2336" t="inlineStr">
        <is>
          <t>Janus Henderson Sustainable Credit Active ETF</t>
        </is>
      </c>
      <c r="D2336" t="inlineStr">
        <is>
          <t>AUD</t>
        </is>
      </c>
      <c r="E2336" t="inlineStr">
        <is>
          <t>ASX</t>
        </is>
      </c>
    </row>
    <row r="2337">
      <c r="B2337" t="inlineStr">
        <is>
          <t>OKJ</t>
        </is>
      </c>
      <c r="C2337" t="inlineStr">
        <is>
          <t>Oakajee Corporation Ltd</t>
        </is>
      </c>
      <c r="D2337" t="inlineStr">
        <is>
          <t>AUD</t>
        </is>
      </c>
      <c r="E2337" t="inlineStr">
        <is>
          <t>ASX</t>
        </is>
      </c>
    </row>
    <row r="2338">
      <c r="B2338" t="inlineStr">
        <is>
          <t>CHRCA</t>
        </is>
      </c>
      <c r="C2338" t="inlineStr">
        <is>
          <t>Charger Metals NL</t>
        </is>
      </c>
      <c r="D2338" t="inlineStr">
        <is>
          <t>AUD</t>
        </is>
      </c>
      <c r="E2338" t="inlineStr">
        <is>
          <t>ASX</t>
        </is>
      </c>
    </row>
    <row r="2339">
      <c r="B2339" t="inlineStr">
        <is>
          <t>RPG</t>
        </is>
      </c>
      <c r="C2339" t="inlineStr">
        <is>
          <t>Raptis Group Ltd</t>
        </is>
      </c>
      <c r="D2339" t="inlineStr">
        <is>
          <t>AUD</t>
        </is>
      </c>
      <c r="E2339" t="inlineStr">
        <is>
          <t>ASX</t>
        </is>
      </c>
    </row>
    <row r="2340">
      <c r="B2340" t="inlineStr">
        <is>
          <t>ICU</t>
        </is>
      </c>
      <c r="C2340" t="inlineStr">
        <is>
          <t>Investor Centre Ltd</t>
        </is>
      </c>
      <c r="D2340" t="inlineStr">
        <is>
          <t>AUD</t>
        </is>
      </c>
      <c r="E2340" t="inlineStr">
        <is>
          <t>ASX</t>
        </is>
      </c>
    </row>
    <row r="2341">
      <c r="B2341" t="inlineStr">
        <is>
          <t>8VI</t>
        </is>
      </c>
      <c r="C2341" t="inlineStr">
        <is>
          <t>8VI Holdings Ltd</t>
        </is>
      </c>
      <c r="D2341" t="inlineStr">
        <is>
          <t>AUD</t>
        </is>
      </c>
      <c r="E2341" t="inlineStr">
        <is>
          <t>ASX</t>
        </is>
      </c>
    </row>
    <row r="2342">
      <c r="B2342" t="inlineStr">
        <is>
          <t>MBX</t>
        </is>
      </c>
      <c r="C2342" t="inlineStr">
        <is>
          <t>My Foodie BOX Ltd</t>
        </is>
      </c>
      <c r="D2342" t="inlineStr">
        <is>
          <t>AUD</t>
        </is>
      </c>
      <c r="E2342" t="inlineStr">
        <is>
          <t>ASX</t>
        </is>
      </c>
    </row>
    <row r="2343">
      <c r="B2343" t="inlineStr">
        <is>
          <t>BBAB</t>
        </is>
      </c>
      <c r="C2343" t="inlineStr">
        <is>
          <t>Betashares Geared Short Aus GOV Bond (Hedge Fund)</t>
        </is>
      </c>
      <c r="D2343" t="inlineStr">
        <is>
          <t>AUD</t>
        </is>
      </c>
      <c r="E2343" t="inlineStr">
        <is>
          <t>ASX</t>
        </is>
      </c>
    </row>
    <row r="2344">
      <c r="B2344" t="inlineStr">
        <is>
          <t>ALFA</t>
        </is>
      </c>
      <c r="C2344" t="inlineStr">
        <is>
          <t>Vaneck Australian Long Short Complex ETF</t>
        </is>
      </c>
      <c r="D2344" t="inlineStr">
        <is>
          <t>AUD</t>
        </is>
      </c>
      <c r="E2344" t="inlineStr">
        <is>
          <t>ASX</t>
        </is>
      </c>
    </row>
    <row r="2345">
      <c r="B2345" t="inlineStr">
        <is>
          <t>JAY</t>
        </is>
      </c>
      <c r="C2345" t="inlineStr">
        <is>
          <t>Jayride Group Ltd</t>
        </is>
      </c>
      <c r="D2345" t="inlineStr">
        <is>
          <t>AUD</t>
        </is>
      </c>
      <c r="E2345" t="inlineStr">
        <is>
          <t>ASX</t>
        </is>
      </c>
    </row>
    <row r="2346">
      <c r="B2346" t="inlineStr">
        <is>
          <t>TTA</t>
        </is>
      </c>
      <c r="C2346" t="inlineStr">
        <is>
          <t>TTA Holdings Ltd</t>
        </is>
      </c>
      <c r="D2346" t="inlineStr">
        <is>
          <t>AUD</t>
        </is>
      </c>
      <c r="E2346" t="inlineStr">
        <is>
          <t>ASX</t>
        </is>
      </c>
    </row>
    <row r="2347">
      <c r="B2347" t="inlineStr">
        <is>
          <t>LAW</t>
        </is>
      </c>
      <c r="C2347" t="inlineStr">
        <is>
          <t>Lawfinance Ltd</t>
        </is>
      </c>
      <c r="D2347" t="inlineStr">
        <is>
          <t>AUD</t>
        </is>
      </c>
      <c r="E2347" t="inlineStr">
        <is>
          <t>ASX</t>
        </is>
      </c>
    </row>
    <row r="2348">
      <c r="B2348" t="inlineStr">
        <is>
          <t>CINPA</t>
        </is>
      </c>
      <c r="C2348" t="inlineStr">
        <is>
          <t>Carlton Investments Ltd</t>
        </is>
      </c>
      <c r="D2348" t="inlineStr">
        <is>
          <t>AUD</t>
        </is>
      </c>
      <c r="E2348" t="inlineStr">
        <is>
          <t>ASX</t>
        </is>
      </c>
    </row>
    <row r="2349">
      <c r="B2349" t="inlineStr">
        <is>
          <t>SSLPA</t>
        </is>
      </c>
      <c r="C2349" t="inlineStr">
        <is>
          <t>Sietel Ltd</t>
        </is>
      </c>
      <c r="D2349" t="inlineStr">
        <is>
          <t>AUD</t>
        </is>
      </c>
      <c r="E2349" t="inlineStr">
        <is>
          <t>ASX</t>
        </is>
      </c>
    </row>
    <row r="2350">
      <c r="B2350" t="inlineStr">
        <is>
          <t>WHFPA</t>
        </is>
      </c>
      <c r="C2350" t="inlineStr">
        <is>
          <t>Whitefield Industrials Ltd</t>
        </is>
      </c>
      <c r="D2350" t="inlineStr">
        <is>
          <t>AUD</t>
        </is>
      </c>
      <c r="E2350" t="inlineStr">
        <is>
          <t>ASX</t>
        </is>
      </c>
    </row>
    <row r="2351">
      <c r="B2351" t="inlineStr">
        <is>
          <t>MSFT</t>
        </is>
      </c>
      <c r="C2351" t="inlineStr">
        <is>
          <t>Microsoft Corp</t>
        </is>
      </c>
      <c r="D2351" t="inlineStr">
        <is>
          <t>USD</t>
        </is>
      </c>
      <c r="E2351" t="inlineStr">
        <is>
          <t>NASDAQ</t>
        </is>
      </c>
    </row>
    <row r="2352">
      <c r="B2352" t="inlineStr">
        <is>
          <t>AMZN</t>
        </is>
      </c>
      <c r="C2352" t="inlineStr">
        <is>
          <t>Amazon.com Inc</t>
        </is>
      </c>
      <c r="D2352" t="inlineStr">
        <is>
          <t>USD</t>
        </is>
      </c>
      <c r="E2352" t="inlineStr">
        <is>
          <t>NASDAQ</t>
        </is>
      </c>
    </row>
    <row r="2353">
      <c r="B2353" t="inlineStr">
        <is>
          <t>AAPL</t>
        </is>
      </c>
      <c r="C2353" t="inlineStr">
        <is>
          <t>Apple Inc</t>
        </is>
      </c>
      <c r="D2353" t="inlineStr">
        <is>
          <t>USD</t>
        </is>
      </c>
      <c r="E2353" t="inlineStr">
        <is>
          <t>NASDAQ</t>
        </is>
      </c>
    </row>
  </sheetData>
  <dataValidations count="4">
    <dataValidation sqref="D2:D2853" showDropDown="0" showInputMessage="0" showErrorMessage="1" allowBlank="1" errorTitle="Not an allowed value" error="Pick a value for currency from the list." type="list">
      <formula1>'ValueAssistance'!$B$2:$B$308</formula1>
    </dataValidation>
    <dataValidation sqref="F2:F2853" showDropDown="0" showInputMessage="0" showErrorMessage="1" allowBlank="1" errorTitle="Not an allowed value" error="Pick a value for legal_form from the list." type="list">
      <formula1>'ValueAssistance'!$C$2:$C$10</formula1>
    </dataValidation>
    <dataValidation sqref="G2:G2853" showDropDown="0" showInputMessage="0" showErrorMessage="1" allowBlank="1" errorTitle="Not an allowed value" error="Pick a value for cgt_asset_category_override from the list." type="list">
      <formula1>'ValueAssistance'!$D$2:$D$9</formula1>
    </dataValidation>
    <dataValidation sqref="H2:H2853" showDropDown="0" showInputMessage="0" showErrorMessage="1" allowBlank="1" errorTitle="Not an allowed value" error="Pick a value for is_taxable_australian_property_override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48"/>
  <sheetViews>
    <sheetView workbookViewId="0">
      <pane ySplit="1" topLeftCell="A2" activePane="bottomLeft" state="frozen"/>
      <selection pane="bottomLeft" activeCell="A1" sqref="A1"/>
    </sheetView>
  </sheetViews>
  <sheetFormatPr baseColWidth="8" defaultRowHeight="15"/>
  <cols>
    <col width="11.2" customWidth="1" min="1" max="1"/>
    <col width="18.2" customWidth="1" min="2" max="2"/>
    <col width="12.2" customWidth="1" min="3" max="3"/>
    <col width="10.2" customWidth="1" min="4" max="4"/>
    <col width="12.2" customWidth="1" min="5" max="5"/>
    <col width="21.2" customWidth="1" min="6" max="6"/>
    <col width="17.2" customWidth="1" min="7" max="7"/>
    <col width="26.2" customWidth="1" min="8" max="8"/>
    <col width="34.2" customWidth="1" min="9" max="9"/>
    <col width="63.2" customWidth="1" min="10" max="10"/>
  </cols>
  <sheetData>
    <row r="1" ht="32" customHeight="1">
      <c r="A1" s="1" t="inlineStr">
        <is>
          <t>legacy_id</t>
        </is>
      </c>
      <c r="B1" s="1" t="inlineStr">
        <is>
          <t>instrument__name</t>
        </is>
      </c>
      <c r="C1" s="1" t="inlineStr">
        <is>
          <t>date</t>
        </is>
      </c>
      <c r="D1" s="1" t="inlineStr">
        <is>
          <t>quantity</t>
        </is>
      </c>
      <c r="E1" s="1" t="inlineStr">
        <is>
          <t>unit_price</t>
        </is>
      </c>
      <c r="F1" s="1" t="inlineStr">
        <is>
          <t>unit_price_currency</t>
        </is>
      </c>
      <c r="G1" s="1" t="inlineStr">
        <is>
          <t>total_brokerage</t>
        </is>
      </c>
      <c r="H1" s="1" t="inlineStr">
        <is>
          <t>total_brokerage_currency</t>
        </is>
      </c>
      <c r="I1" s="1" t="inlineStr">
        <is>
          <t>file</t>
        </is>
      </c>
      <c r="J1" s="1" t="inlineStr">
        <is>
          <t>notes</t>
        </is>
      </c>
    </row>
    <row r="2">
      <c r="A2" t="inlineStr">
        <is>
          <t>B001</t>
        </is>
      </c>
      <c r="B2" t="inlineStr">
        <is>
          <t>VAS</t>
        </is>
      </c>
      <c r="C2" s="5" t="n">
        <v>42646</v>
      </c>
      <c r="D2" t="n">
        <v>14</v>
      </c>
      <c r="E2" t="n">
        <v>70.75</v>
      </c>
      <c r="F2" t="inlineStr">
        <is>
          <t>AUD</t>
        </is>
      </c>
      <c r="G2" t="n">
        <v>9.5</v>
      </c>
      <c r="H2" t="inlineStr">
        <is>
          <t>AUD</t>
        </is>
      </c>
      <c r="I2" t="inlineStr">
        <is>
          <t>C:\full_path_to_file\buy-001.pdf</t>
        </is>
      </c>
      <c r="J2" t="inlineStr">
        <is>
          <t>FAKE DATA - generated for demonstration, not a real portfolio</t>
        </is>
      </c>
    </row>
    <row r="3">
      <c r="A3" t="inlineStr">
        <is>
          <t>B002</t>
        </is>
      </c>
      <c r="B3" t="inlineStr">
        <is>
          <t>VGS</t>
        </is>
      </c>
      <c r="C3" s="5" t="n">
        <v>42646</v>
      </c>
      <c r="D3" t="n">
        <v>22</v>
      </c>
      <c r="E3" t="n">
        <v>55.95</v>
      </c>
      <c r="F3" t="inlineStr">
        <is>
          <t>AUD</t>
        </is>
      </c>
      <c r="G3" t="n">
        <v>9.5</v>
      </c>
      <c r="H3" t="inlineStr">
        <is>
          <t>AUD</t>
        </is>
      </c>
    </row>
    <row r="4">
      <c r="A4" t="inlineStr">
        <is>
          <t>B003</t>
        </is>
      </c>
      <c r="B4" t="inlineStr">
        <is>
          <t>VAS</t>
        </is>
      </c>
      <c r="C4" s="5" t="n">
        <v>42676</v>
      </c>
      <c r="D4" t="n">
        <v>24</v>
      </c>
      <c r="E4" t="n">
        <v>66.45</v>
      </c>
      <c r="F4" t="inlineStr">
        <is>
          <t>AUD</t>
        </is>
      </c>
      <c r="G4" t="n">
        <v>9.5</v>
      </c>
      <c r="H4" t="inlineStr">
        <is>
          <t>AUD</t>
        </is>
      </c>
    </row>
    <row r="5">
      <c r="A5" t="inlineStr">
        <is>
          <t>B004</t>
        </is>
      </c>
      <c r="B5" t="inlineStr">
        <is>
          <t>VGS</t>
        </is>
      </c>
      <c r="C5" s="5" t="n">
        <v>42676</v>
      </c>
      <c r="D5" t="n">
        <v>37</v>
      </c>
      <c r="E5" t="n">
        <v>54.19</v>
      </c>
      <c r="F5" t="inlineStr">
        <is>
          <t>AUD</t>
        </is>
      </c>
      <c r="G5" t="n">
        <v>9.5</v>
      </c>
      <c r="H5" t="inlineStr">
        <is>
          <t>AUD</t>
        </is>
      </c>
    </row>
    <row r="6">
      <c r="A6" t="inlineStr">
        <is>
          <t>B005</t>
        </is>
      </c>
      <c r="B6" t="inlineStr">
        <is>
          <t>VAS</t>
        </is>
      </c>
      <c r="C6" s="5" t="n">
        <v>42710</v>
      </c>
      <c r="D6" t="n">
        <v>18</v>
      </c>
      <c r="E6" t="n">
        <v>69.38</v>
      </c>
      <c r="F6" t="inlineStr">
        <is>
          <t>AUD</t>
        </is>
      </c>
      <c r="G6" t="n">
        <v>9.5</v>
      </c>
      <c r="H6" t="inlineStr">
        <is>
          <t>AUD</t>
        </is>
      </c>
    </row>
    <row r="7">
      <c r="A7" t="inlineStr">
        <is>
          <t>B006</t>
        </is>
      </c>
      <c r="B7" t="inlineStr">
        <is>
          <t>VGS</t>
        </is>
      </c>
      <c r="C7" s="5" t="n">
        <v>42710</v>
      </c>
      <c r="D7" t="n">
        <v>27</v>
      </c>
      <c r="E7" t="n">
        <v>57.06</v>
      </c>
      <c r="F7" t="inlineStr">
        <is>
          <t>AUD</t>
        </is>
      </c>
      <c r="G7" t="n">
        <v>9.5</v>
      </c>
      <c r="H7" t="inlineStr">
        <is>
          <t>AUD</t>
        </is>
      </c>
    </row>
    <row r="8">
      <c r="A8" t="inlineStr">
        <is>
          <t>B007</t>
        </is>
      </c>
      <c r="B8" t="inlineStr">
        <is>
          <t>TLS</t>
        </is>
      </c>
      <c r="C8" s="5" t="n">
        <v>42716</v>
      </c>
      <c r="D8" t="n">
        <v>195</v>
      </c>
      <c r="E8" t="n">
        <v>4.95</v>
      </c>
      <c r="F8" t="inlineStr">
        <is>
          <t>AUD</t>
        </is>
      </c>
      <c r="G8" t="n">
        <v>19.95</v>
      </c>
      <c r="H8" t="inlineStr">
        <is>
          <t>AUD</t>
        </is>
      </c>
    </row>
    <row r="9">
      <c r="A9" t="inlineStr">
        <is>
          <t>B008</t>
        </is>
      </c>
      <c r="B9" t="inlineStr">
        <is>
          <t>VAS</t>
        </is>
      </c>
      <c r="C9" s="5" t="n">
        <v>42741</v>
      </c>
      <c r="D9" t="n">
        <v>21</v>
      </c>
      <c r="E9" t="n">
        <v>72.68000000000001</v>
      </c>
      <c r="F9" t="inlineStr">
        <is>
          <t>AUD</t>
        </is>
      </c>
      <c r="G9" t="n">
        <v>9.5</v>
      </c>
      <c r="H9" t="inlineStr">
        <is>
          <t>AUD</t>
        </is>
      </c>
    </row>
    <row r="10">
      <c r="A10" t="inlineStr">
        <is>
          <t>B009</t>
        </is>
      </c>
      <c r="B10" t="inlineStr">
        <is>
          <t>VGS</t>
        </is>
      </c>
      <c r="C10" s="5" t="n">
        <v>42741</v>
      </c>
      <c r="D10" t="n">
        <v>32</v>
      </c>
      <c r="E10" t="n">
        <v>59.89</v>
      </c>
      <c r="F10" t="inlineStr">
        <is>
          <t>AUD</t>
        </is>
      </c>
      <c r="G10" t="n">
        <v>9.5</v>
      </c>
      <c r="H10" t="inlineStr">
        <is>
          <t>AUD</t>
        </is>
      </c>
    </row>
    <row r="11">
      <c r="A11" t="inlineStr">
        <is>
          <t>B010</t>
        </is>
      </c>
      <c r="B11" t="inlineStr">
        <is>
          <t>AMZN</t>
        </is>
      </c>
      <c r="C11" s="5" t="n">
        <v>42755</v>
      </c>
      <c r="D11" t="n">
        <v>1</v>
      </c>
      <c r="E11" t="n">
        <v>808.33</v>
      </c>
      <c r="F11" t="inlineStr">
        <is>
          <t>USD</t>
        </is>
      </c>
      <c r="G11" t="n">
        <v>5</v>
      </c>
      <c r="H11" t="inlineStr">
        <is>
          <t>USD</t>
        </is>
      </c>
    </row>
    <row r="12">
      <c r="A12" t="inlineStr">
        <is>
          <t>B011</t>
        </is>
      </c>
      <c r="B12" t="inlineStr">
        <is>
          <t>VAS</t>
        </is>
      </c>
      <c r="C12" s="5" t="n">
        <v>42772</v>
      </c>
      <c r="D12" t="n">
        <v>20</v>
      </c>
      <c r="E12" t="n">
        <v>70.93000000000001</v>
      </c>
      <c r="F12" t="inlineStr">
        <is>
          <t>AUD</t>
        </is>
      </c>
      <c r="G12" t="n">
        <v>9.5</v>
      </c>
      <c r="H12" t="inlineStr">
        <is>
          <t>AUD</t>
        </is>
      </c>
    </row>
    <row r="13">
      <c r="A13" t="inlineStr">
        <is>
          <t>B012</t>
        </is>
      </c>
      <c r="B13" t="inlineStr">
        <is>
          <t>VGS</t>
        </is>
      </c>
      <c r="C13" s="5" t="n">
        <v>42772</v>
      </c>
      <c r="D13" t="n">
        <v>30</v>
      </c>
      <c r="E13" t="n">
        <v>57.95</v>
      </c>
      <c r="F13" t="inlineStr">
        <is>
          <t>AUD</t>
        </is>
      </c>
      <c r="G13" t="n">
        <v>9.5</v>
      </c>
      <c r="H13" t="inlineStr">
        <is>
          <t>AUD</t>
        </is>
      </c>
    </row>
    <row r="14">
      <c r="A14" t="inlineStr">
        <is>
          <t>B013</t>
        </is>
      </c>
      <c r="B14" t="inlineStr">
        <is>
          <t>VAS</t>
        </is>
      </c>
      <c r="C14" s="5" t="n">
        <v>42797</v>
      </c>
      <c r="D14" t="n">
        <v>8</v>
      </c>
      <c r="E14" t="n">
        <v>72.94</v>
      </c>
      <c r="F14" t="inlineStr">
        <is>
          <t>AUD</t>
        </is>
      </c>
      <c r="G14" t="n">
        <v>9.5</v>
      </c>
      <c r="H14" t="inlineStr">
        <is>
          <t>AUD</t>
        </is>
      </c>
    </row>
    <row r="15">
      <c r="A15" t="inlineStr">
        <is>
          <t>B014</t>
        </is>
      </c>
      <c r="B15" t="inlineStr">
        <is>
          <t>VGS</t>
        </is>
      </c>
      <c r="C15" s="5" t="n">
        <v>42797</v>
      </c>
      <c r="D15" t="n">
        <v>12</v>
      </c>
      <c r="E15" t="n">
        <v>60</v>
      </c>
      <c r="F15" t="inlineStr">
        <is>
          <t>AUD</t>
        </is>
      </c>
      <c r="G15" t="n">
        <v>9.5</v>
      </c>
      <c r="H15" t="inlineStr">
        <is>
          <t>AUD</t>
        </is>
      </c>
    </row>
    <row r="16">
      <c r="A16" t="inlineStr">
        <is>
          <t>B015</t>
        </is>
      </c>
      <c r="B16" t="inlineStr">
        <is>
          <t>AAPL</t>
        </is>
      </c>
      <c r="C16" s="5" t="n">
        <v>42800</v>
      </c>
      <c r="D16" t="n">
        <v>4</v>
      </c>
      <c r="E16" t="n">
        <v>139.34</v>
      </c>
      <c r="F16" t="inlineStr">
        <is>
          <t>USD</t>
        </is>
      </c>
      <c r="G16" t="n">
        <v>5</v>
      </c>
      <c r="H16" t="inlineStr">
        <is>
          <t>USD</t>
        </is>
      </c>
    </row>
    <row r="17">
      <c r="A17" t="inlineStr">
        <is>
          <t>B016</t>
        </is>
      </c>
      <c r="B17" t="inlineStr">
        <is>
          <t>CBA</t>
        </is>
      </c>
      <c r="C17" s="5" t="n">
        <v>42811</v>
      </c>
      <c r="D17" t="n">
        <v>10</v>
      </c>
      <c r="E17" t="n">
        <v>84.77</v>
      </c>
      <c r="F17" t="inlineStr">
        <is>
          <t>AUD</t>
        </is>
      </c>
      <c r="G17" t="n">
        <v>19.95</v>
      </c>
      <c r="H17" t="inlineStr">
        <is>
          <t>AUD</t>
        </is>
      </c>
    </row>
    <row r="18">
      <c r="A18" t="inlineStr">
        <is>
          <t>B017</t>
        </is>
      </c>
      <c r="B18" t="inlineStr">
        <is>
          <t>VAS</t>
        </is>
      </c>
      <c r="C18" s="5" t="n">
        <v>42829</v>
      </c>
      <c r="D18" t="n">
        <v>19</v>
      </c>
      <c r="E18" t="n">
        <v>74.31</v>
      </c>
      <c r="F18" t="inlineStr">
        <is>
          <t>AUD</t>
        </is>
      </c>
      <c r="G18" t="n">
        <v>9.5</v>
      </c>
      <c r="H18" t="inlineStr">
        <is>
          <t>AUD</t>
        </is>
      </c>
    </row>
    <row r="19">
      <c r="A19" t="inlineStr">
        <is>
          <t>B018</t>
        </is>
      </c>
      <c r="B19" t="inlineStr">
        <is>
          <t>VGS</t>
        </is>
      </c>
      <c r="C19" s="5" t="n">
        <v>42829</v>
      </c>
      <c r="D19" t="n">
        <v>30</v>
      </c>
      <c r="E19" t="n">
        <v>59.99</v>
      </c>
      <c r="F19" t="inlineStr">
        <is>
          <t>AUD</t>
        </is>
      </c>
      <c r="G19" t="n">
        <v>9.5</v>
      </c>
      <c r="H19" t="inlineStr">
        <is>
          <t>AUD</t>
        </is>
      </c>
    </row>
    <row r="20">
      <c r="A20" t="inlineStr">
        <is>
          <t>B019</t>
        </is>
      </c>
      <c r="B20" t="inlineStr">
        <is>
          <t>MSFT</t>
        </is>
      </c>
      <c r="C20" s="5" t="n">
        <v>42859</v>
      </c>
      <c r="D20" t="n">
        <v>14</v>
      </c>
      <c r="E20" t="n">
        <v>68.81</v>
      </c>
      <c r="F20" t="inlineStr">
        <is>
          <t>USD</t>
        </is>
      </c>
      <c r="G20" t="n">
        <v>5</v>
      </c>
      <c r="H20" t="inlineStr">
        <is>
          <t>USD</t>
        </is>
      </c>
    </row>
    <row r="21">
      <c r="A21" t="inlineStr">
        <is>
          <t>B020</t>
        </is>
      </c>
      <c r="B21" t="inlineStr">
        <is>
          <t>VAS</t>
        </is>
      </c>
      <c r="C21" s="5" t="n">
        <v>42860</v>
      </c>
      <c r="D21" t="n">
        <v>17</v>
      </c>
      <c r="E21" t="n">
        <v>74.29000000000001</v>
      </c>
      <c r="F21" t="inlineStr">
        <is>
          <t>AUD</t>
        </is>
      </c>
      <c r="G21" t="n">
        <v>9.5</v>
      </c>
      <c r="H21" t="inlineStr">
        <is>
          <t>AUD</t>
        </is>
      </c>
    </row>
    <row r="22">
      <c r="A22" t="inlineStr">
        <is>
          <t>B021</t>
        </is>
      </c>
      <c r="B22" t="inlineStr">
        <is>
          <t>VGS</t>
        </is>
      </c>
      <c r="C22" s="5" t="n">
        <v>42860</v>
      </c>
      <c r="D22" t="n">
        <v>25</v>
      </c>
      <c r="E22" t="n">
        <v>63.02</v>
      </c>
      <c r="F22" t="inlineStr">
        <is>
          <t>AUD</t>
        </is>
      </c>
      <c r="G22" t="n">
        <v>9.5</v>
      </c>
      <c r="H22" t="inlineStr">
        <is>
          <t>AUD</t>
        </is>
      </c>
    </row>
    <row r="23">
      <c r="A23" t="inlineStr">
        <is>
          <t>B022</t>
        </is>
      </c>
      <c r="B23" t="inlineStr">
        <is>
          <t>TLS</t>
        </is>
      </c>
      <c r="C23" s="5" t="n">
        <v>42870</v>
      </c>
      <c r="D23" t="n">
        <v>299</v>
      </c>
      <c r="E23" t="n">
        <v>4.4</v>
      </c>
      <c r="F23" t="inlineStr">
        <is>
          <t>AUD</t>
        </is>
      </c>
      <c r="G23" t="n">
        <v>19.95</v>
      </c>
      <c r="H23" t="inlineStr">
        <is>
          <t>AUD</t>
        </is>
      </c>
    </row>
    <row r="24">
      <c r="A24" t="inlineStr">
        <is>
          <t>B023</t>
        </is>
      </c>
      <c r="B24" t="inlineStr">
        <is>
          <t>AAPL</t>
        </is>
      </c>
      <c r="C24" s="5" t="n">
        <v>42877</v>
      </c>
      <c r="D24" t="n">
        <v>6</v>
      </c>
      <c r="E24" t="n">
        <v>153.99</v>
      </c>
      <c r="F24" t="inlineStr">
        <is>
          <t>USD</t>
        </is>
      </c>
      <c r="G24" t="n">
        <v>5</v>
      </c>
      <c r="H24" t="inlineStr">
        <is>
          <t>USD</t>
        </is>
      </c>
    </row>
    <row r="25">
      <c r="A25" t="inlineStr">
        <is>
          <t>B024</t>
        </is>
      </c>
      <c r="B25" t="inlineStr">
        <is>
          <t>VAS</t>
        </is>
      </c>
      <c r="C25" s="5" t="n">
        <v>42891</v>
      </c>
      <c r="D25" t="n">
        <v>14</v>
      </c>
      <c r="E25" t="n">
        <v>73.47</v>
      </c>
      <c r="F25" t="inlineStr">
        <is>
          <t>AUD</t>
        </is>
      </c>
      <c r="G25" t="n">
        <v>9.5</v>
      </c>
      <c r="H25" t="inlineStr">
        <is>
          <t>AUD</t>
        </is>
      </c>
    </row>
    <row r="26">
      <c r="A26" t="inlineStr">
        <is>
          <t>B025</t>
        </is>
      </c>
      <c r="B26" t="inlineStr">
        <is>
          <t>VGS</t>
        </is>
      </c>
      <c r="C26" s="5" t="n">
        <v>42891</v>
      </c>
      <c r="D26" t="n">
        <v>20</v>
      </c>
      <c r="E26" t="n">
        <v>64.25</v>
      </c>
      <c r="F26" t="inlineStr">
        <is>
          <t>AUD</t>
        </is>
      </c>
      <c r="G26" t="n">
        <v>9.5</v>
      </c>
      <c r="H26" t="inlineStr">
        <is>
          <t>AUD</t>
        </is>
      </c>
    </row>
    <row r="27">
      <c r="A27" t="inlineStr">
        <is>
          <t>B026</t>
        </is>
      </c>
      <c r="B27" t="inlineStr">
        <is>
          <t>AAPL</t>
        </is>
      </c>
      <c r="C27" s="5" t="n">
        <v>42908</v>
      </c>
      <c r="D27" t="n">
        <v>4</v>
      </c>
      <c r="E27" t="n">
        <v>145.63</v>
      </c>
      <c r="F27" t="inlineStr">
        <is>
          <t>USD</t>
        </is>
      </c>
      <c r="G27" t="n">
        <v>5</v>
      </c>
      <c r="H27" t="inlineStr">
        <is>
          <t>USD</t>
        </is>
      </c>
    </row>
    <row r="28">
      <c r="A28" t="inlineStr">
        <is>
          <t>B027</t>
        </is>
      </c>
      <c r="B28" t="inlineStr">
        <is>
          <t>VAS</t>
        </is>
      </c>
      <c r="C28" s="5" t="n">
        <v>42920</v>
      </c>
      <c r="D28" t="n">
        <v>21</v>
      </c>
      <c r="E28" t="n">
        <v>73.59</v>
      </c>
      <c r="F28" t="inlineStr">
        <is>
          <t>AUD</t>
        </is>
      </c>
      <c r="G28" t="n">
        <v>9.5</v>
      </c>
      <c r="H28" t="inlineStr">
        <is>
          <t>AUD</t>
        </is>
      </c>
    </row>
    <row r="29">
      <c r="A29" t="inlineStr">
        <is>
          <t>B028</t>
        </is>
      </c>
      <c r="B29" t="inlineStr">
        <is>
          <t>VGS</t>
        </is>
      </c>
      <c r="C29" s="5" t="n">
        <v>42920</v>
      </c>
      <c r="D29" t="n">
        <v>31</v>
      </c>
      <c r="E29" t="n">
        <v>61.5</v>
      </c>
      <c r="F29" t="inlineStr">
        <is>
          <t>AUD</t>
        </is>
      </c>
      <c r="G29" t="n">
        <v>9.5</v>
      </c>
      <c r="H29" t="inlineStr">
        <is>
          <t>AUD</t>
        </is>
      </c>
    </row>
    <row r="30">
      <c r="A30" t="inlineStr">
        <is>
          <t>B029</t>
        </is>
      </c>
      <c r="B30" t="inlineStr">
        <is>
          <t>MSFT</t>
        </is>
      </c>
      <c r="C30" s="5" t="n">
        <v>42926</v>
      </c>
      <c r="D30" t="n">
        <v>9</v>
      </c>
      <c r="E30" t="n">
        <v>69.98</v>
      </c>
      <c r="F30" t="inlineStr">
        <is>
          <t>USD</t>
        </is>
      </c>
      <c r="G30" t="n">
        <v>5</v>
      </c>
      <c r="H30" t="inlineStr">
        <is>
          <t>USD</t>
        </is>
      </c>
    </row>
    <row r="31">
      <c r="A31" t="inlineStr">
        <is>
          <t>B030</t>
        </is>
      </c>
      <c r="B31" t="inlineStr">
        <is>
          <t>MSFT</t>
        </is>
      </c>
      <c r="C31" s="5" t="n">
        <v>42944</v>
      </c>
      <c r="D31" t="n">
        <v>7</v>
      </c>
      <c r="E31" t="n">
        <v>73.04000000000001</v>
      </c>
      <c r="F31" t="inlineStr">
        <is>
          <t>USD</t>
        </is>
      </c>
      <c r="G31" t="n">
        <v>5</v>
      </c>
      <c r="H31" t="inlineStr">
        <is>
          <t>USD</t>
        </is>
      </c>
    </row>
    <row r="32">
      <c r="A32" t="inlineStr">
        <is>
          <t>B031</t>
        </is>
      </c>
      <c r="B32" t="inlineStr">
        <is>
          <t>VAS</t>
        </is>
      </c>
      <c r="C32" s="5" t="n">
        <v>42954</v>
      </c>
      <c r="D32" t="n">
        <v>18</v>
      </c>
      <c r="E32" t="n">
        <v>73.45</v>
      </c>
      <c r="F32" t="inlineStr">
        <is>
          <t>AUD</t>
        </is>
      </c>
      <c r="G32" t="n">
        <v>9.5</v>
      </c>
      <c r="H32" t="inlineStr">
        <is>
          <t>AUD</t>
        </is>
      </c>
    </row>
    <row r="33">
      <c r="A33" t="inlineStr">
        <is>
          <t>B032</t>
        </is>
      </c>
      <c r="B33" t="inlineStr">
        <is>
          <t>VGS</t>
        </is>
      </c>
      <c r="C33" s="5" t="n">
        <v>42954</v>
      </c>
      <c r="D33" t="n">
        <v>27</v>
      </c>
      <c r="E33" t="n">
        <v>61</v>
      </c>
      <c r="F33" t="inlineStr">
        <is>
          <t>AUD</t>
        </is>
      </c>
      <c r="G33" t="n">
        <v>9.5</v>
      </c>
      <c r="H33" t="inlineStr">
        <is>
          <t>AUD</t>
        </is>
      </c>
    </row>
    <row r="34">
      <c r="A34" t="inlineStr">
        <is>
          <t>B033</t>
        </is>
      </c>
      <c r="B34" t="inlineStr">
        <is>
          <t>VAS</t>
        </is>
      </c>
      <c r="C34" s="5" t="n">
        <v>42982</v>
      </c>
      <c r="D34" t="n">
        <v>16</v>
      </c>
      <c r="E34" t="n">
        <v>73.25</v>
      </c>
      <c r="F34" t="inlineStr">
        <is>
          <t>AUD</t>
        </is>
      </c>
      <c r="G34" t="n">
        <v>9.5</v>
      </c>
      <c r="H34" t="inlineStr">
        <is>
          <t>AUD</t>
        </is>
      </c>
    </row>
    <row r="35">
      <c r="A35" t="inlineStr">
        <is>
          <t>B034</t>
        </is>
      </c>
      <c r="B35" t="inlineStr">
        <is>
          <t>VGS</t>
        </is>
      </c>
      <c r="C35" s="5" t="n">
        <v>42982</v>
      </c>
      <c r="D35" t="n">
        <v>24</v>
      </c>
      <c r="E35" t="n">
        <v>60.14</v>
      </c>
      <c r="F35" t="inlineStr">
        <is>
          <t>AUD</t>
        </is>
      </c>
      <c r="G35" t="n">
        <v>9.5</v>
      </c>
      <c r="H35" t="inlineStr">
        <is>
          <t>AUD</t>
        </is>
      </c>
    </row>
    <row r="36">
      <c r="A36" t="inlineStr">
        <is>
          <t>B035</t>
        </is>
      </c>
      <c r="B36" t="inlineStr">
        <is>
          <t>AMZN</t>
        </is>
      </c>
      <c r="C36" s="5" t="n">
        <v>43004</v>
      </c>
      <c r="D36" t="n">
        <v>1</v>
      </c>
      <c r="E36" t="n">
        <v>938.6</v>
      </c>
      <c r="F36" t="inlineStr">
        <is>
          <t>USD</t>
        </is>
      </c>
      <c r="G36" t="n">
        <v>5</v>
      </c>
      <c r="H36" t="inlineStr">
        <is>
          <t>USD</t>
        </is>
      </c>
    </row>
    <row r="37">
      <c r="A37" t="inlineStr">
        <is>
          <t>B036</t>
        </is>
      </c>
      <c r="B37" t="inlineStr">
        <is>
          <t>VAS</t>
        </is>
      </c>
      <c r="C37" s="5" t="n">
        <v>43013</v>
      </c>
      <c r="D37" t="n">
        <v>11</v>
      </c>
      <c r="E37" t="n">
        <v>72.06999999999999</v>
      </c>
      <c r="F37" t="inlineStr">
        <is>
          <t>AUD</t>
        </is>
      </c>
      <c r="G37" t="n">
        <v>9.5</v>
      </c>
      <c r="H37" t="inlineStr">
        <is>
          <t>AUD</t>
        </is>
      </c>
    </row>
    <row r="38">
      <c r="A38" t="inlineStr">
        <is>
          <t>B037</t>
        </is>
      </c>
      <c r="B38" t="inlineStr">
        <is>
          <t>VGS</t>
        </is>
      </c>
      <c r="C38" s="5" t="n">
        <v>43013</v>
      </c>
      <c r="D38" t="n">
        <v>15</v>
      </c>
      <c r="E38" t="n">
        <v>62.68</v>
      </c>
      <c r="F38" t="inlineStr">
        <is>
          <t>AUD</t>
        </is>
      </c>
      <c r="G38" t="n">
        <v>9.5</v>
      </c>
      <c r="H38" t="inlineStr">
        <is>
          <t>AUD</t>
        </is>
      </c>
    </row>
    <row r="39">
      <c r="A39" t="inlineStr">
        <is>
          <t>B038</t>
        </is>
      </c>
      <c r="B39" t="inlineStr">
        <is>
          <t>MSFT</t>
        </is>
      </c>
      <c r="C39" s="5" t="n">
        <v>43027</v>
      </c>
      <c r="D39" t="n">
        <v>8</v>
      </c>
      <c r="E39" t="n">
        <v>77.91</v>
      </c>
      <c r="F39" t="inlineStr">
        <is>
          <t>USD</t>
        </is>
      </c>
      <c r="G39" t="n">
        <v>5</v>
      </c>
      <c r="H39" t="inlineStr">
        <is>
          <t>USD</t>
        </is>
      </c>
    </row>
    <row r="40">
      <c r="A40" t="inlineStr">
        <is>
          <t>B039</t>
        </is>
      </c>
      <c r="B40" t="inlineStr">
        <is>
          <t>VAS</t>
        </is>
      </c>
      <c r="C40" s="5" t="n">
        <v>43045</v>
      </c>
      <c r="D40" t="n">
        <v>13</v>
      </c>
      <c r="E40" t="n">
        <v>75.83</v>
      </c>
      <c r="F40" t="inlineStr">
        <is>
          <t>AUD</t>
        </is>
      </c>
      <c r="G40" t="n">
        <v>9.5</v>
      </c>
      <c r="H40" t="inlineStr">
        <is>
          <t>AUD</t>
        </is>
      </c>
    </row>
    <row r="41">
      <c r="A41" t="inlineStr">
        <is>
          <t>B040</t>
        </is>
      </c>
      <c r="B41" t="inlineStr">
        <is>
          <t>VGS</t>
        </is>
      </c>
      <c r="C41" s="5" t="n">
        <v>43045</v>
      </c>
      <c r="D41" t="n">
        <v>19</v>
      </c>
      <c r="E41" t="n">
        <v>65.08</v>
      </c>
      <c r="F41" t="inlineStr">
        <is>
          <t>AUD</t>
        </is>
      </c>
      <c r="G41" t="n">
        <v>9.5</v>
      </c>
      <c r="H41" t="inlineStr">
        <is>
          <t>AUD</t>
        </is>
      </c>
    </row>
    <row r="42">
      <c r="A42" t="inlineStr">
        <is>
          <t>B041</t>
        </is>
      </c>
      <c r="B42" t="inlineStr">
        <is>
          <t>VAS</t>
        </is>
      </c>
      <c r="C42" s="5" t="n">
        <v>43073</v>
      </c>
      <c r="D42" t="n">
        <v>13</v>
      </c>
      <c r="E42" t="n">
        <v>76.75</v>
      </c>
      <c r="F42" t="inlineStr">
        <is>
          <t>AUD</t>
        </is>
      </c>
      <c r="G42" t="n">
        <v>9.5</v>
      </c>
      <c r="H42" t="inlineStr">
        <is>
          <t>AUD</t>
        </is>
      </c>
    </row>
    <row r="43">
      <c r="A43" t="inlineStr">
        <is>
          <t>B042</t>
        </is>
      </c>
      <c r="B43" t="inlineStr">
        <is>
          <t>VGS</t>
        </is>
      </c>
      <c r="C43" s="5" t="n">
        <v>43073</v>
      </c>
      <c r="D43" t="n">
        <v>18</v>
      </c>
      <c r="E43" t="n">
        <v>67.11</v>
      </c>
      <c r="F43" t="inlineStr">
        <is>
          <t>AUD</t>
        </is>
      </c>
      <c r="G43" t="n">
        <v>9.5</v>
      </c>
      <c r="H43" t="inlineStr">
        <is>
          <t>AUD</t>
        </is>
      </c>
    </row>
    <row r="44">
      <c r="A44" t="inlineStr">
        <is>
          <t>B043</t>
        </is>
      </c>
      <c r="B44" t="inlineStr">
        <is>
          <t>VAS</t>
        </is>
      </c>
      <c r="C44" s="5" t="n">
        <v>43105</v>
      </c>
      <c r="D44" t="n">
        <v>20</v>
      </c>
      <c r="E44" t="n">
        <v>77.95999999999999</v>
      </c>
      <c r="F44" t="inlineStr">
        <is>
          <t>AUD</t>
        </is>
      </c>
      <c r="G44" t="n">
        <v>9.5</v>
      </c>
      <c r="H44" t="inlineStr">
        <is>
          <t>AUD</t>
        </is>
      </c>
    </row>
    <row r="45">
      <c r="A45" t="inlineStr">
        <is>
          <t>B044</t>
        </is>
      </c>
      <c r="B45" t="inlineStr">
        <is>
          <t>VGS</t>
        </is>
      </c>
      <c r="C45" s="5" t="n">
        <v>43105</v>
      </c>
      <c r="D45" t="n">
        <v>28</v>
      </c>
      <c r="E45" t="n">
        <v>66.61</v>
      </c>
      <c r="F45" t="inlineStr">
        <is>
          <t>AUD</t>
        </is>
      </c>
      <c r="G45" t="n">
        <v>9.5</v>
      </c>
      <c r="H45" t="inlineStr">
        <is>
          <t>AUD</t>
        </is>
      </c>
    </row>
    <row r="46">
      <c r="A46" t="inlineStr">
        <is>
          <t>B045</t>
        </is>
      </c>
      <c r="B46" t="inlineStr">
        <is>
          <t>AMZN</t>
        </is>
      </c>
      <c r="C46" s="5" t="n">
        <v>43119</v>
      </c>
      <c r="D46" t="n">
        <v>1</v>
      </c>
      <c r="E46" t="n">
        <v>1294.5799</v>
      </c>
      <c r="F46" t="inlineStr">
        <is>
          <t>USD</t>
        </is>
      </c>
      <c r="G46" t="n">
        <v>5</v>
      </c>
      <c r="H46" t="inlineStr">
        <is>
          <t>USD</t>
        </is>
      </c>
    </row>
    <row r="47">
      <c r="A47" t="inlineStr">
        <is>
          <t>B046</t>
        </is>
      </c>
      <c r="B47" t="inlineStr">
        <is>
          <t>VAS</t>
        </is>
      </c>
      <c r="C47" s="5" t="n">
        <v>43133</v>
      </c>
      <c r="D47" t="n">
        <v>14</v>
      </c>
      <c r="E47" t="n">
        <v>77.97</v>
      </c>
      <c r="F47" t="inlineStr">
        <is>
          <t>AUD</t>
        </is>
      </c>
      <c r="G47" t="n">
        <v>9.5</v>
      </c>
      <c r="H47" t="inlineStr">
        <is>
          <t>AUD</t>
        </is>
      </c>
    </row>
    <row r="48">
      <c r="A48" t="inlineStr">
        <is>
          <t>B047</t>
        </is>
      </c>
      <c r="B48" t="inlineStr">
        <is>
          <t>VGS</t>
        </is>
      </c>
      <c r="C48" s="5" t="n">
        <v>43133</v>
      </c>
      <c r="D48" t="n">
        <v>20</v>
      </c>
      <c r="E48" t="n">
        <v>67.42</v>
      </c>
      <c r="F48" t="inlineStr">
        <is>
          <t>AUD</t>
        </is>
      </c>
      <c r="G48" t="n">
        <v>9.5</v>
      </c>
      <c r="H48" t="inlineStr">
        <is>
          <t>AUD</t>
        </is>
      </c>
    </row>
    <row r="49">
      <c r="A49" t="inlineStr">
        <is>
          <t>B048</t>
        </is>
      </c>
      <c r="B49" t="inlineStr">
        <is>
          <t>TLS</t>
        </is>
      </c>
      <c r="C49" s="5" t="n">
        <v>43139</v>
      </c>
      <c r="D49" t="n">
        <v>315</v>
      </c>
      <c r="E49" t="n">
        <v>3.56</v>
      </c>
      <c r="F49" t="inlineStr">
        <is>
          <t>AUD</t>
        </is>
      </c>
      <c r="G49" t="n">
        <v>19.95</v>
      </c>
      <c r="H49" t="inlineStr">
        <is>
          <t>AUD</t>
        </is>
      </c>
    </row>
    <row r="50">
      <c r="A50" t="inlineStr">
        <is>
          <t>B049</t>
        </is>
      </c>
      <c r="B50" t="inlineStr">
        <is>
          <t>AMZN</t>
        </is>
      </c>
      <c r="C50" s="5" t="n">
        <v>43164</v>
      </c>
      <c r="D50" t="n">
        <v>1</v>
      </c>
      <c r="E50" t="n">
        <v>1523.6099</v>
      </c>
      <c r="F50" t="inlineStr">
        <is>
          <t>USD</t>
        </is>
      </c>
      <c r="G50" t="n">
        <v>5</v>
      </c>
      <c r="H50" t="inlineStr">
        <is>
          <t>USD</t>
        </is>
      </c>
    </row>
    <row r="51">
      <c r="A51" t="inlineStr">
        <is>
          <t>B050</t>
        </is>
      </c>
      <c r="B51" t="inlineStr">
        <is>
          <t>VAS</t>
        </is>
      </c>
      <c r="C51" s="5" t="n">
        <v>43165</v>
      </c>
      <c r="D51" t="n">
        <v>20</v>
      </c>
      <c r="E51" t="n">
        <v>76.69</v>
      </c>
      <c r="F51" t="inlineStr">
        <is>
          <t>AUD</t>
        </is>
      </c>
      <c r="G51" t="n">
        <v>9.5</v>
      </c>
      <c r="H51" t="inlineStr">
        <is>
          <t>AUD</t>
        </is>
      </c>
    </row>
    <row r="52">
      <c r="A52" t="inlineStr">
        <is>
          <t>B051</t>
        </is>
      </c>
      <c r="B52" t="inlineStr">
        <is>
          <t>VGS</t>
        </is>
      </c>
      <c r="C52" s="5" t="n">
        <v>43165</v>
      </c>
      <c r="D52" t="n">
        <v>28</v>
      </c>
      <c r="E52" t="n">
        <v>66.37</v>
      </c>
      <c r="F52" t="inlineStr">
        <is>
          <t>AUD</t>
        </is>
      </c>
      <c r="G52" t="n">
        <v>9.5</v>
      </c>
      <c r="H52" t="inlineStr">
        <is>
          <t>AUD</t>
        </is>
      </c>
    </row>
    <row r="53">
      <c r="A53" t="inlineStr">
        <is>
          <t>B052</t>
        </is>
      </c>
      <c r="B53" t="inlineStr">
        <is>
          <t>VAS</t>
        </is>
      </c>
      <c r="C53" s="5" t="n">
        <v>43196</v>
      </c>
      <c r="D53" t="n">
        <v>12</v>
      </c>
      <c r="E53" t="n">
        <v>73.94</v>
      </c>
      <c r="F53" t="inlineStr">
        <is>
          <t>AUD</t>
        </is>
      </c>
      <c r="G53" t="n">
        <v>9.5</v>
      </c>
      <c r="H53" t="inlineStr">
        <is>
          <t>AUD</t>
        </is>
      </c>
    </row>
    <row r="54">
      <c r="A54" t="inlineStr">
        <is>
          <t>B053</t>
        </is>
      </c>
      <c r="B54" t="inlineStr">
        <is>
          <t>VGS</t>
        </is>
      </c>
      <c r="C54" s="5" t="n">
        <v>43196</v>
      </c>
      <c r="D54" t="n">
        <v>17</v>
      </c>
      <c r="E54" t="n">
        <v>65.64</v>
      </c>
      <c r="F54" t="inlineStr">
        <is>
          <t>AUD</t>
        </is>
      </c>
      <c r="G54" t="n">
        <v>9.5</v>
      </c>
      <c r="H54" t="inlineStr">
        <is>
          <t>AUD</t>
        </is>
      </c>
    </row>
    <row r="55">
      <c r="A55" t="inlineStr">
        <is>
          <t>B054</t>
        </is>
      </c>
      <c r="B55" t="inlineStr">
        <is>
          <t>VAS</t>
        </is>
      </c>
      <c r="C55" s="5" t="n">
        <v>43227</v>
      </c>
      <c r="D55" t="n">
        <v>15</v>
      </c>
      <c r="E55" t="n">
        <v>77.73999999999999</v>
      </c>
      <c r="F55" t="inlineStr">
        <is>
          <t>AUD</t>
        </is>
      </c>
      <c r="G55" t="n">
        <v>9.5</v>
      </c>
      <c r="H55" t="inlineStr">
        <is>
          <t>AUD</t>
        </is>
      </c>
    </row>
    <row r="56">
      <c r="A56" t="inlineStr">
        <is>
          <t>B055</t>
        </is>
      </c>
      <c r="B56" t="inlineStr">
        <is>
          <t>VGS</t>
        </is>
      </c>
      <c r="C56" s="5" t="n">
        <v>43227</v>
      </c>
      <c r="D56" t="n">
        <v>22</v>
      </c>
      <c r="E56" t="n">
        <v>68.26000000000001</v>
      </c>
      <c r="F56" t="inlineStr">
        <is>
          <t>AUD</t>
        </is>
      </c>
      <c r="G56" t="n">
        <v>9.5</v>
      </c>
      <c r="H56" t="inlineStr">
        <is>
          <t>AUD</t>
        </is>
      </c>
    </row>
    <row r="57">
      <c r="A57" t="inlineStr">
        <is>
          <t>B056</t>
        </is>
      </c>
      <c r="B57" t="inlineStr">
        <is>
          <t>A200</t>
        </is>
      </c>
      <c r="C57" s="5" t="n">
        <v>43257</v>
      </c>
      <c r="D57" t="n">
        <v>8</v>
      </c>
      <c r="E57" t="n">
        <v>99.92</v>
      </c>
      <c r="F57" t="inlineStr">
        <is>
          <t>AUD</t>
        </is>
      </c>
      <c r="G57" t="n">
        <v>9.5</v>
      </c>
      <c r="H57" t="inlineStr">
        <is>
          <t>AUD</t>
        </is>
      </c>
    </row>
    <row r="58">
      <c r="A58" t="inlineStr">
        <is>
          <t>B057</t>
        </is>
      </c>
      <c r="B58" t="inlineStr">
        <is>
          <t>VGS</t>
        </is>
      </c>
      <c r="C58" s="5" t="n">
        <v>43257</v>
      </c>
      <c r="D58" t="n">
        <v>15</v>
      </c>
      <c r="E58" t="n">
        <v>68.28</v>
      </c>
      <c r="F58" t="inlineStr">
        <is>
          <t>AUD</t>
        </is>
      </c>
      <c r="G58" t="n">
        <v>9.5</v>
      </c>
      <c r="H58" t="inlineStr">
        <is>
          <t>AUD</t>
        </is>
      </c>
    </row>
    <row r="59">
      <c r="A59" t="inlineStr">
        <is>
          <t>B058</t>
        </is>
      </c>
      <c r="B59" t="inlineStr">
        <is>
          <t>A200</t>
        </is>
      </c>
      <c r="C59" s="5" t="n">
        <v>43283</v>
      </c>
      <c r="D59" t="n">
        <v>16</v>
      </c>
      <c r="E59" t="n">
        <v>102.6</v>
      </c>
      <c r="F59" t="inlineStr">
        <is>
          <t>AUD</t>
        </is>
      </c>
      <c r="G59" t="n">
        <v>9.5</v>
      </c>
      <c r="H59" t="inlineStr">
        <is>
          <t>AUD</t>
        </is>
      </c>
    </row>
    <row r="60">
      <c r="A60" t="inlineStr">
        <is>
          <t>B059</t>
        </is>
      </c>
      <c r="B60" t="inlineStr">
        <is>
          <t>VGS</t>
        </is>
      </c>
      <c r="C60" s="5" t="n">
        <v>43283</v>
      </c>
      <c r="D60" t="n">
        <v>29</v>
      </c>
      <c r="E60" t="n">
        <v>68.14</v>
      </c>
      <c r="F60" t="inlineStr">
        <is>
          <t>AUD</t>
        </is>
      </c>
      <c r="G60" t="n">
        <v>9.5</v>
      </c>
      <c r="H60" t="inlineStr">
        <is>
          <t>AUD</t>
        </is>
      </c>
    </row>
    <row r="61">
      <c r="A61" t="inlineStr">
        <is>
          <t>B060</t>
        </is>
      </c>
      <c r="B61" t="inlineStr">
        <is>
          <t>A200</t>
        </is>
      </c>
      <c r="C61" s="5" t="n">
        <v>43314</v>
      </c>
      <c r="D61" t="n">
        <v>13</v>
      </c>
      <c r="E61" t="n">
        <v>103.68</v>
      </c>
      <c r="F61" t="inlineStr">
        <is>
          <t>AUD</t>
        </is>
      </c>
      <c r="G61" t="n">
        <v>9.5</v>
      </c>
      <c r="H61" t="inlineStr">
        <is>
          <t>AUD</t>
        </is>
      </c>
    </row>
    <row r="62">
      <c r="A62" t="inlineStr">
        <is>
          <t>B061</t>
        </is>
      </c>
      <c r="B62" t="inlineStr">
        <is>
          <t>VGS</t>
        </is>
      </c>
      <c r="C62" s="5" t="n">
        <v>43314</v>
      </c>
      <c r="D62" t="n">
        <v>23</v>
      </c>
      <c r="E62" t="n">
        <v>70.39</v>
      </c>
      <c r="F62" t="inlineStr">
        <is>
          <t>AUD</t>
        </is>
      </c>
      <c r="G62" t="n">
        <v>9.5</v>
      </c>
      <c r="H62" t="inlineStr">
        <is>
          <t>AUD</t>
        </is>
      </c>
    </row>
    <row r="63">
      <c r="A63" t="inlineStr">
        <is>
          <t>B062</t>
        </is>
      </c>
      <c r="B63" t="inlineStr">
        <is>
          <t>MSFT</t>
        </is>
      </c>
      <c r="C63" s="5" t="n">
        <v>43339</v>
      </c>
      <c r="D63" t="n">
        <v>7</v>
      </c>
      <c r="E63" t="n">
        <v>109.6</v>
      </c>
      <c r="F63" t="inlineStr">
        <is>
          <t>USD</t>
        </is>
      </c>
      <c r="G63" t="n">
        <v>5</v>
      </c>
      <c r="H63" t="inlineStr">
        <is>
          <t>USD</t>
        </is>
      </c>
    </row>
    <row r="64">
      <c r="A64" t="inlineStr">
        <is>
          <t>B063</t>
        </is>
      </c>
      <c r="B64" t="inlineStr">
        <is>
          <t>A200</t>
        </is>
      </c>
      <c r="C64" s="5" t="n">
        <v>43346</v>
      </c>
      <c r="D64" t="n">
        <v>10</v>
      </c>
      <c r="E64" t="n">
        <v>105.86</v>
      </c>
      <c r="F64" t="inlineStr">
        <is>
          <t>AUD</t>
        </is>
      </c>
      <c r="G64" t="n">
        <v>9.5</v>
      </c>
      <c r="H64" t="inlineStr">
        <is>
          <t>AUD</t>
        </is>
      </c>
    </row>
    <row r="65">
      <c r="A65" t="inlineStr">
        <is>
          <t>B064</t>
        </is>
      </c>
      <c r="B65" t="inlineStr">
        <is>
          <t>VGS</t>
        </is>
      </c>
      <c r="C65" s="5" t="n">
        <v>43346</v>
      </c>
      <c r="D65" t="n">
        <v>18</v>
      </c>
      <c r="E65" t="n">
        <v>73.51000000000001</v>
      </c>
      <c r="F65" t="inlineStr">
        <is>
          <t>AUD</t>
        </is>
      </c>
      <c r="G65" t="n">
        <v>9.5</v>
      </c>
      <c r="H65" t="inlineStr">
        <is>
          <t>AUD</t>
        </is>
      </c>
    </row>
    <row r="66">
      <c r="A66" t="inlineStr">
        <is>
          <t>B065</t>
        </is>
      </c>
      <c r="B66" t="inlineStr">
        <is>
          <t>MSFT</t>
        </is>
      </c>
      <c r="C66" s="5" t="n">
        <v>43347</v>
      </c>
      <c r="D66" t="n">
        <v>4</v>
      </c>
      <c r="E66" t="n">
        <v>111.71</v>
      </c>
      <c r="F66" t="inlineStr">
        <is>
          <t>USD</t>
        </is>
      </c>
      <c r="G66" t="n">
        <v>5</v>
      </c>
      <c r="H66" t="inlineStr">
        <is>
          <t>USD</t>
        </is>
      </c>
    </row>
    <row r="67">
      <c r="A67" t="inlineStr">
        <is>
          <t>B066</t>
        </is>
      </c>
      <c r="B67" t="inlineStr">
        <is>
          <t>BHP</t>
        </is>
      </c>
      <c r="C67" s="5" t="n">
        <v>43360</v>
      </c>
      <c r="D67" t="n">
        <v>43</v>
      </c>
      <c r="E67" t="n">
        <v>28.1458</v>
      </c>
      <c r="F67" t="inlineStr">
        <is>
          <t>AUD</t>
        </is>
      </c>
      <c r="G67" t="n">
        <v>19.95</v>
      </c>
      <c r="H67" t="inlineStr">
        <is>
          <t>AUD</t>
        </is>
      </c>
    </row>
    <row r="68">
      <c r="A68" t="inlineStr">
        <is>
          <t>B067</t>
        </is>
      </c>
      <c r="B68" t="inlineStr">
        <is>
          <t>A200</t>
        </is>
      </c>
      <c r="C68" s="5" t="n">
        <v>43375</v>
      </c>
      <c r="D68" t="n">
        <v>12</v>
      </c>
      <c r="E68" t="n">
        <v>102.02</v>
      </c>
      <c r="F68" t="inlineStr">
        <is>
          <t>AUD</t>
        </is>
      </c>
      <c r="G68" t="n">
        <v>9.5</v>
      </c>
      <c r="H68" t="inlineStr">
        <is>
          <t>AUD</t>
        </is>
      </c>
    </row>
    <row r="69">
      <c r="A69" t="inlineStr">
        <is>
          <t>B068</t>
        </is>
      </c>
      <c r="B69" t="inlineStr">
        <is>
          <t>VGS</t>
        </is>
      </c>
      <c r="C69" s="5" t="n">
        <v>43375</v>
      </c>
      <c r="D69" t="n">
        <v>21</v>
      </c>
      <c r="E69" t="n">
        <v>73.66</v>
      </c>
      <c r="F69" t="inlineStr">
        <is>
          <t>AUD</t>
        </is>
      </c>
      <c r="G69" t="n">
        <v>9.5</v>
      </c>
      <c r="H69" t="inlineStr">
        <is>
          <t>AUD</t>
        </is>
      </c>
    </row>
    <row r="70">
      <c r="A70" t="inlineStr">
        <is>
          <t>B069</t>
        </is>
      </c>
      <c r="B70" t="inlineStr">
        <is>
          <t>AAPL</t>
        </is>
      </c>
      <c r="C70" s="5" t="n">
        <v>43384</v>
      </c>
      <c r="D70" t="n">
        <v>2</v>
      </c>
      <c r="E70" t="n">
        <v>214.45</v>
      </c>
      <c r="F70" t="inlineStr">
        <is>
          <t>USD</t>
        </is>
      </c>
      <c r="G70" t="n">
        <v>5</v>
      </c>
      <c r="H70" t="inlineStr">
        <is>
          <t>USD</t>
        </is>
      </c>
    </row>
    <row r="71">
      <c r="A71" t="inlineStr">
        <is>
          <t>B070</t>
        </is>
      </c>
      <c r="B71" t="inlineStr">
        <is>
          <t>MSFT</t>
        </is>
      </c>
      <c r="C71" s="5" t="n">
        <v>43385</v>
      </c>
      <c r="D71" t="n">
        <v>7</v>
      </c>
      <c r="E71" t="n">
        <v>109.57</v>
      </c>
      <c r="F71" t="inlineStr">
        <is>
          <t>USD</t>
        </is>
      </c>
      <c r="G71" t="n">
        <v>5</v>
      </c>
      <c r="H71" t="inlineStr">
        <is>
          <t>USD</t>
        </is>
      </c>
    </row>
    <row r="72">
      <c r="A72" t="inlineStr">
        <is>
          <t>B071</t>
        </is>
      </c>
      <c r="B72" t="inlineStr">
        <is>
          <t>A200</t>
        </is>
      </c>
      <c r="C72" s="5" t="n">
        <v>43409</v>
      </c>
      <c r="D72" t="n">
        <v>15</v>
      </c>
      <c r="E72" t="n">
        <v>96.91</v>
      </c>
      <c r="F72" t="inlineStr">
        <is>
          <t>AUD</t>
        </is>
      </c>
      <c r="G72" t="n">
        <v>9.5</v>
      </c>
      <c r="H72" t="inlineStr">
        <is>
          <t>AUD</t>
        </is>
      </c>
    </row>
    <row r="73">
      <c r="A73" t="inlineStr">
        <is>
          <t>B072</t>
        </is>
      </c>
      <c r="B73" t="inlineStr">
        <is>
          <t>VGS</t>
        </is>
      </c>
      <c r="C73" s="5" t="n">
        <v>43409</v>
      </c>
      <c r="D73" t="n">
        <v>26</v>
      </c>
      <c r="E73" t="n">
        <v>68.72</v>
      </c>
      <c r="F73" t="inlineStr">
        <is>
          <t>AUD</t>
        </is>
      </c>
      <c r="G73" t="n">
        <v>9.5</v>
      </c>
      <c r="H73" t="inlineStr">
        <is>
          <t>AUD</t>
        </is>
      </c>
    </row>
    <row r="74">
      <c r="A74" t="inlineStr">
        <is>
          <t>B073</t>
        </is>
      </c>
      <c r="B74" t="inlineStr">
        <is>
          <t>WES</t>
        </is>
      </c>
      <c r="C74" s="5" t="n">
        <v>43416</v>
      </c>
      <c r="D74" t="n">
        <v>14</v>
      </c>
      <c r="E74" t="n">
        <v>33.8899</v>
      </c>
      <c r="F74" t="inlineStr">
        <is>
          <t>AUD</t>
        </is>
      </c>
      <c r="G74" t="n">
        <v>19.95</v>
      </c>
      <c r="H74" t="inlineStr">
        <is>
          <t>AUD</t>
        </is>
      </c>
    </row>
    <row r="75">
      <c r="A75" t="inlineStr">
        <is>
          <t>B074</t>
        </is>
      </c>
      <c r="B75" t="inlineStr">
        <is>
          <t>AAPL</t>
        </is>
      </c>
      <c r="C75" s="5" t="n">
        <v>43425</v>
      </c>
      <c r="D75" t="n">
        <v>3</v>
      </c>
      <c r="E75" t="n">
        <v>176.78</v>
      </c>
      <c r="F75" t="inlineStr">
        <is>
          <t>USD</t>
        </is>
      </c>
      <c r="G75" t="n">
        <v>5</v>
      </c>
      <c r="H75" t="inlineStr">
        <is>
          <t>USD</t>
        </is>
      </c>
    </row>
    <row r="76">
      <c r="A76" t="inlineStr">
        <is>
          <t>B075</t>
        </is>
      </c>
      <c r="B76" t="inlineStr">
        <is>
          <t>A200</t>
        </is>
      </c>
      <c r="C76" s="5" t="n">
        <v>43440</v>
      </c>
      <c r="D76" t="n">
        <v>9</v>
      </c>
      <c r="E76" t="n">
        <v>94.84999999999999</v>
      </c>
      <c r="F76" t="inlineStr">
        <is>
          <t>AUD</t>
        </is>
      </c>
      <c r="G76" t="n">
        <v>9.5</v>
      </c>
      <c r="H76" t="inlineStr">
        <is>
          <t>AUD</t>
        </is>
      </c>
    </row>
    <row r="77">
      <c r="A77" t="inlineStr">
        <is>
          <t>B076</t>
        </is>
      </c>
      <c r="B77" t="inlineStr">
        <is>
          <t>VGS</t>
        </is>
      </c>
      <c r="C77" s="5" t="n">
        <v>43440</v>
      </c>
      <c r="D77" t="n">
        <v>16</v>
      </c>
      <c r="E77" t="n">
        <v>66.86</v>
      </c>
      <c r="F77" t="inlineStr">
        <is>
          <t>AUD</t>
        </is>
      </c>
      <c r="G77" t="n">
        <v>9.5</v>
      </c>
      <c r="H77" t="inlineStr">
        <is>
          <t>AUD</t>
        </is>
      </c>
    </row>
    <row r="78">
      <c r="A78" t="inlineStr">
        <is>
          <t>B077</t>
        </is>
      </c>
      <c r="B78" t="inlineStr">
        <is>
          <t>MSFT</t>
        </is>
      </c>
      <c r="C78" s="5" t="n">
        <v>43451</v>
      </c>
      <c r="D78" t="n">
        <v>4</v>
      </c>
      <c r="E78" t="n">
        <v>102.89</v>
      </c>
      <c r="F78" t="inlineStr">
        <is>
          <t>USD</t>
        </is>
      </c>
      <c r="G78" t="n">
        <v>5</v>
      </c>
      <c r="H78" t="inlineStr">
        <is>
          <t>USD</t>
        </is>
      </c>
    </row>
    <row r="79">
      <c r="A79" t="inlineStr">
        <is>
          <t>B078</t>
        </is>
      </c>
      <c r="B79" t="inlineStr">
        <is>
          <t>A200</t>
        </is>
      </c>
      <c r="C79" s="5" t="n">
        <v>43469</v>
      </c>
      <c r="D79" t="n">
        <v>13</v>
      </c>
      <c r="E79" t="n">
        <v>93.61</v>
      </c>
      <c r="F79" t="inlineStr">
        <is>
          <t>AUD</t>
        </is>
      </c>
      <c r="G79" t="n">
        <v>9.5</v>
      </c>
      <c r="H79" t="inlineStr">
        <is>
          <t>AUD</t>
        </is>
      </c>
    </row>
    <row r="80">
      <c r="A80" t="inlineStr">
        <is>
          <t>B079</t>
        </is>
      </c>
      <c r="B80" t="inlineStr">
        <is>
          <t>VGS</t>
        </is>
      </c>
      <c r="C80" s="5" t="n">
        <v>43469</v>
      </c>
      <c r="D80" t="n">
        <v>23</v>
      </c>
      <c r="E80" t="n">
        <v>64.09</v>
      </c>
      <c r="F80" t="inlineStr">
        <is>
          <t>AUD</t>
        </is>
      </c>
      <c r="G80" t="n">
        <v>9.5</v>
      </c>
      <c r="H80" t="inlineStr">
        <is>
          <t>AUD</t>
        </is>
      </c>
    </row>
    <row r="81">
      <c r="A81" t="inlineStr">
        <is>
          <t>B080</t>
        </is>
      </c>
      <c r="B81" t="inlineStr">
        <is>
          <t>AMZN</t>
        </is>
      </c>
      <c r="C81" s="5" t="n">
        <v>43472</v>
      </c>
      <c r="D81" t="n">
        <v>1</v>
      </c>
      <c r="E81" t="n">
        <v>1629.51</v>
      </c>
      <c r="F81" t="inlineStr">
        <is>
          <t>USD</t>
        </is>
      </c>
      <c r="G81" t="n">
        <v>5</v>
      </c>
      <c r="H81" t="inlineStr">
        <is>
          <t>USD</t>
        </is>
      </c>
    </row>
    <row r="82">
      <c r="A82" t="inlineStr">
        <is>
          <t>B081</t>
        </is>
      </c>
      <c r="B82" t="inlineStr">
        <is>
          <t>A200</t>
        </is>
      </c>
      <c r="C82" s="5" t="n">
        <v>43501</v>
      </c>
      <c r="D82" t="n">
        <v>14</v>
      </c>
      <c r="E82" t="n">
        <v>100.39</v>
      </c>
      <c r="F82" t="inlineStr">
        <is>
          <t>AUD</t>
        </is>
      </c>
      <c r="G82" t="n">
        <v>9.5</v>
      </c>
      <c r="H82" t="inlineStr">
        <is>
          <t>AUD</t>
        </is>
      </c>
    </row>
    <row r="83">
      <c r="A83" t="inlineStr">
        <is>
          <t>B082</t>
        </is>
      </c>
      <c r="B83" t="inlineStr">
        <is>
          <t>VGS</t>
        </is>
      </c>
      <c r="C83" s="5" t="n">
        <v>43501</v>
      </c>
      <c r="D83" t="n">
        <v>26</v>
      </c>
      <c r="E83" t="n">
        <v>68</v>
      </c>
      <c r="F83" t="inlineStr">
        <is>
          <t>AUD</t>
        </is>
      </c>
      <c r="G83" t="n">
        <v>9.5</v>
      </c>
      <c r="H83" t="inlineStr">
        <is>
          <t>AUD</t>
        </is>
      </c>
    </row>
    <row r="84">
      <c r="A84" t="inlineStr">
        <is>
          <t>B083</t>
        </is>
      </c>
      <c r="B84" t="inlineStr">
        <is>
          <t>AMZN</t>
        </is>
      </c>
      <c r="C84" s="5" t="n">
        <v>43502</v>
      </c>
      <c r="D84" t="n">
        <v>1</v>
      </c>
      <c r="E84" t="n">
        <v>1640.26</v>
      </c>
      <c r="F84" t="inlineStr">
        <is>
          <t>USD</t>
        </is>
      </c>
      <c r="G84" t="n">
        <v>5</v>
      </c>
      <c r="H84" t="inlineStr">
        <is>
          <t>USD</t>
        </is>
      </c>
    </row>
    <row r="85">
      <c r="A85" t="inlineStr">
        <is>
          <t>B084</t>
        </is>
      </c>
      <c r="B85" t="inlineStr">
        <is>
          <t>A200</t>
        </is>
      </c>
      <c r="C85" s="5" t="n">
        <v>43528</v>
      </c>
      <c r="D85" t="n">
        <v>8</v>
      </c>
      <c r="E85" t="n">
        <v>104.63</v>
      </c>
      <c r="F85" t="inlineStr">
        <is>
          <t>AUD</t>
        </is>
      </c>
      <c r="G85" t="n">
        <v>9.5</v>
      </c>
      <c r="H85" t="inlineStr">
        <is>
          <t>AUD</t>
        </is>
      </c>
    </row>
    <row r="86">
      <c r="A86" t="inlineStr">
        <is>
          <t>B085</t>
        </is>
      </c>
      <c r="B86" t="inlineStr">
        <is>
          <t>VGS</t>
        </is>
      </c>
      <c r="C86" s="5" t="n">
        <v>43528</v>
      </c>
      <c r="D86" t="n">
        <v>15</v>
      </c>
      <c r="E86" t="n">
        <v>72.14</v>
      </c>
      <c r="F86" t="inlineStr">
        <is>
          <t>AUD</t>
        </is>
      </c>
      <c r="G86" t="n">
        <v>9.5</v>
      </c>
      <c r="H86" t="inlineStr">
        <is>
          <t>AUD</t>
        </is>
      </c>
    </row>
    <row r="87">
      <c r="A87" t="inlineStr">
        <is>
          <t>B086</t>
        </is>
      </c>
      <c r="B87" t="inlineStr">
        <is>
          <t>AAPL</t>
        </is>
      </c>
      <c r="C87" s="5" t="n">
        <v>43535</v>
      </c>
      <c r="D87" t="n">
        <v>2</v>
      </c>
      <c r="E87" t="n">
        <v>178.9</v>
      </c>
      <c r="F87" t="inlineStr">
        <is>
          <t>USD</t>
        </is>
      </c>
      <c r="G87" t="n">
        <v>5</v>
      </c>
      <c r="H87" t="inlineStr">
        <is>
          <t>USD</t>
        </is>
      </c>
    </row>
    <row r="88">
      <c r="A88" t="inlineStr">
        <is>
          <t>B087</t>
        </is>
      </c>
      <c r="B88" t="inlineStr">
        <is>
          <t>A200</t>
        </is>
      </c>
      <c r="C88" s="5" t="n">
        <v>43557</v>
      </c>
      <c r="D88" t="n">
        <v>8</v>
      </c>
      <c r="E88" t="n">
        <v>104.52</v>
      </c>
      <c r="F88" t="inlineStr">
        <is>
          <t>AUD</t>
        </is>
      </c>
      <c r="G88" t="n">
        <v>9.5</v>
      </c>
      <c r="H88" t="inlineStr">
        <is>
          <t>AUD</t>
        </is>
      </c>
    </row>
    <row r="89">
      <c r="A89" t="inlineStr">
        <is>
          <t>B088</t>
        </is>
      </c>
      <c r="B89" t="inlineStr">
        <is>
          <t>VGS</t>
        </is>
      </c>
      <c r="C89" s="5" t="n">
        <v>43557</v>
      </c>
      <c r="D89" t="n">
        <v>14</v>
      </c>
      <c r="E89" t="n">
        <v>72.72</v>
      </c>
      <c r="F89" t="inlineStr">
        <is>
          <t>AUD</t>
        </is>
      </c>
      <c r="G89" t="n">
        <v>9.5</v>
      </c>
      <c r="H89" t="inlineStr">
        <is>
          <t>AUD</t>
        </is>
      </c>
    </row>
    <row r="90">
      <c r="A90" t="inlineStr">
        <is>
          <t>B089</t>
        </is>
      </c>
      <c r="B90" t="inlineStr">
        <is>
          <t>A200</t>
        </is>
      </c>
      <c r="C90" s="5" t="n">
        <v>43591</v>
      </c>
      <c r="D90" t="n">
        <v>14</v>
      </c>
      <c r="E90" t="n">
        <v>105.05</v>
      </c>
      <c r="F90" t="inlineStr">
        <is>
          <t>AUD</t>
        </is>
      </c>
      <c r="G90" t="n">
        <v>9.5</v>
      </c>
      <c r="H90" t="inlineStr">
        <is>
          <t>AUD</t>
        </is>
      </c>
    </row>
    <row r="91">
      <c r="A91" t="inlineStr">
        <is>
          <t>B090</t>
        </is>
      </c>
      <c r="B91" t="inlineStr">
        <is>
          <t>VGS</t>
        </is>
      </c>
      <c r="C91" s="5" t="n">
        <v>43591</v>
      </c>
      <c r="D91" t="n">
        <v>25</v>
      </c>
      <c r="E91" t="n">
        <v>74.48999999999999</v>
      </c>
      <c r="F91" t="inlineStr">
        <is>
          <t>AUD</t>
        </is>
      </c>
      <c r="G91" t="n">
        <v>9.5</v>
      </c>
      <c r="H91" t="inlineStr">
        <is>
          <t>AUD</t>
        </is>
      </c>
    </row>
    <row r="92">
      <c r="A92" t="inlineStr">
        <is>
          <t>B091</t>
        </is>
      </c>
      <c r="B92" t="inlineStr">
        <is>
          <t>WES</t>
        </is>
      </c>
      <c r="C92" s="5" t="n">
        <v>43605</v>
      </c>
      <c r="D92" t="n">
        <v>23</v>
      </c>
      <c r="E92" t="n">
        <v>36.71</v>
      </c>
      <c r="F92" t="inlineStr">
        <is>
          <t>AUD</t>
        </is>
      </c>
      <c r="G92" t="n">
        <v>19.95</v>
      </c>
      <c r="H92" t="inlineStr">
        <is>
          <t>AUD</t>
        </is>
      </c>
    </row>
    <row r="93">
      <c r="A93" t="inlineStr">
        <is>
          <t>B092</t>
        </is>
      </c>
      <c r="B93" t="inlineStr">
        <is>
          <t>A200</t>
        </is>
      </c>
      <c r="C93" s="5" t="n">
        <v>43620</v>
      </c>
      <c r="D93" t="n">
        <v>14</v>
      </c>
      <c r="E93" t="n">
        <v>106.68</v>
      </c>
      <c r="F93" t="inlineStr">
        <is>
          <t>AUD</t>
        </is>
      </c>
      <c r="G93" t="n">
        <v>9.5</v>
      </c>
      <c r="H93" t="inlineStr">
        <is>
          <t>AUD</t>
        </is>
      </c>
    </row>
    <row r="94">
      <c r="A94" t="inlineStr">
        <is>
          <t>B093</t>
        </is>
      </c>
      <c r="B94" t="inlineStr">
        <is>
          <t>VGS</t>
        </is>
      </c>
      <c r="C94" s="5" t="n">
        <v>43620</v>
      </c>
      <c r="D94" t="n">
        <v>26</v>
      </c>
      <c r="E94" t="n">
        <v>71.45</v>
      </c>
      <c r="F94" t="inlineStr">
        <is>
          <t>AUD</t>
        </is>
      </c>
      <c r="G94" t="n">
        <v>9.5</v>
      </c>
      <c r="H94" t="inlineStr">
        <is>
          <t>AUD</t>
        </is>
      </c>
    </row>
    <row r="95">
      <c r="A95" t="inlineStr">
        <is>
          <t>B094</t>
        </is>
      </c>
      <c r="B95" t="inlineStr">
        <is>
          <t>CBA</t>
        </is>
      </c>
      <c r="C95" s="5" t="n">
        <v>43633</v>
      </c>
      <c r="D95" t="n">
        <v>14</v>
      </c>
      <c r="E95" t="n">
        <v>80.19</v>
      </c>
      <c r="F95" t="inlineStr">
        <is>
          <t>AUD</t>
        </is>
      </c>
      <c r="G95" t="n">
        <v>19.95</v>
      </c>
      <c r="H95" t="inlineStr">
        <is>
          <t>AUD</t>
        </is>
      </c>
    </row>
    <row r="96">
      <c r="A96" t="inlineStr">
        <is>
          <t>B095</t>
        </is>
      </c>
      <c r="B96" t="inlineStr">
        <is>
          <t>A200</t>
        </is>
      </c>
      <c r="C96" s="5" t="n">
        <v>43651</v>
      </c>
      <c r="D96" t="n">
        <v>10</v>
      </c>
      <c r="E96" t="n">
        <v>112.85</v>
      </c>
      <c r="F96" t="inlineStr">
        <is>
          <t>AUD</t>
        </is>
      </c>
      <c r="G96" t="n">
        <v>9.5</v>
      </c>
      <c r="H96" t="inlineStr">
        <is>
          <t>AUD</t>
        </is>
      </c>
    </row>
    <row r="97">
      <c r="A97" t="inlineStr">
        <is>
          <t>B096</t>
        </is>
      </c>
      <c r="B97" t="inlineStr">
        <is>
          <t>MSFT</t>
        </is>
      </c>
      <c r="C97" s="5" t="n">
        <v>43651</v>
      </c>
      <c r="D97" t="n">
        <v>6</v>
      </c>
      <c r="E97" t="n">
        <v>137.06</v>
      </c>
      <c r="F97" t="inlineStr">
        <is>
          <t>USD</t>
        </is>
      </c>
      <c r="G97" t="n">
        <v>5</v>
      </c>
      <c r="H97" t="inlineStr">
        <is>
          <t>USD</t>
        </is>
      </c>
    </row>
    <row r="98">
      <c r="A98" t="inlineStr">
        <is>
          <t>B097</t>
        </is>
      </c>
      <c r="B98" t="inlineStr">
        <is>
          <t>VGS</t>
        </is>
      </c>
      <c r="C98" s="5" t="n">
        <v>43651</v>
      </c>
      <c r="D98" t="n">
        <v>18</v>
      </c>
      <c r="E98" t="n">
        <v>76.13</v>
      </c>
      <c r="F98" t="inlineStr">
        <is>
          <t>AUD</t>
        </is>
      </c>
      <c r="G98" t="n">
        <v>9.5</v>
      </c>
      <c r="H98" t="inlineStr">
        <is>
          <t>AUD</t>
        </is>
      </c>
    </row>
    <row r="99">
      <c r="A99" t="inlineStr">
        <is>
          <t>B098</t>
        </is>
      </c>
      <c r="B99" t="inlineStr">
        <is>
          <t>AMZN</t>
        </is>
      </c>
      <c r="C99" s="5" t="n">
        <v>43658</v>
      </c>
      <c r="D99" t="n">
        <v>1</v>
      </c>
      <c r="E99" t="n">
        <v>2011.0001</v>
      </c>
      <c r="F99" t="inlineStr">
        <is>
          <t>USD</t>
        </is>
      </c>
      <c r="G99" t="n">
        <v>5</v>
      </c>
      <c r="H99" t="inlineStr">
        <is>
          <t>USD</t>
        </is>
      </c>
    </row>
    <row r="100">
      <c r="A100" t="inlineStr">
        <is>
          <t>B099</t>
        </is>
      </c>
      <c r="B100" t="inlineStr">
        <is>
          <t>AMZN</t>
        </is>
      </c>
      <c r="C100" s="5" t="n">
        <v>43661</v>
      </c>
      <c r="D100" t="n">
        <v>1</v>
      </c>
      <c r="E100" t="n">
        <v>2020.99</v>
      </c>
      <c r="F100" t="inlineStr">
        <is>
          <t>USD</t>
        </is>
      </c>
      <c r="G100" t="n">
        <v>5</v>
      </c>
      <c r="H100" t="inlineStr">
        <is>
          <t>USD</t>
        </is>
      </c>
    </row>
    <row r="101">
      <c r="A101" t="inlineStr">
        <is>
          <t>B100</t>
        </is>
      </c>
      <c r="B101" t="inlineStr">
        <is>
          <t>A200</t>
        </is>
      </c>
      <c r="C101" s="5" t="n">
        <v>43682</v>
      </c>
      <c r="D101" t="n">
        <v>13</v>
      </c>
      <c r="E101" t="n">
        <v>113.04</v>
      </c>
      <c r="F101" t="inlineStr">
        <is>
          <t>AUD</t>
        </is>
      </c>
      <c r="G101" t="n">
        <v>9.5</v>
      </c>
      <c r="H101" t="inlineStr">
        <is>
          <t>AUD</t>
        </is>
      </c>
    </row>
    <row r="102">
      <c r="A102" t="inlineStr">
        <is>
          <t>B101</t>
        </is>
      </c>
      <c r="B102" t="inlineStr">
        <is>
          <t>VGS</t>
        </is>
      </c>
      <c r="C102" s="5" t="n">
        <v>43682</v>
      </c>
      <c r="D102" t="n">
        <v>24</v>
      </c>
      <c r="E102" t="n">
        <v>75.59999999999999</v>
      </c>
      <c r="F102" t="inlineStr">
        <is>
          <t>AUD</t>
        </is>
      </c>
      <c r="G102" t="n">
        <v>9.5</v>
      </c>
      <c r="H102" t="inlineStr">
        <is>
          <t>AUD</t>
        </is>
      </c>
    </row>
    <row r="103">
      <c r="A103" t="inlineStr">
        <is>
          <t>B102</t>
        </is>
      </c>
      <c r="B103" t="inlineStr">
        <is>
          <t>A200</t>
        </is>
      </c>
      <c r="C103" s="5" t="n">
        <v>43710</v>
      </c>
      <c r="D103" t="n">
        <v>13</v>
      </c>
      <c r="E103" t="n">
        <v>110.71</v>
      </c>
      <c r="F103" t="inlineStr">
        <is>
          <t>AUD</t>
        </is>
      </c>
      <c r="G103" t="n">
        <v>9.5</v>
      </c>
      <c r="H103" t="inlineStr">
        <is>
          <t>AUD</t>
        </is>
      </c>
    </row>
    <row r="104">
      <c r="A104" t="inlineStr">
        <is>
          <t>B103</t>
        </is>
      </c>
      <c r="B104" t="inlineStr">
        <is>
          <t>VGS</t>
        </is>
      </c>
      <c r="C104" s="5" t="n">
        <v>43710</v>
      </c>
      <c r="D104" t="n">
        <v>23</v>
      </c>
      <c r="E104" t="n">
        <v>76.63</v>
      </c>
      <c r="F104" t="inlineStr">
        <is>
          <t>AUD</t>
        </is>
      </c>
      <c r="G104" t="n">
        <v>9.5</v>
      </c>
      <c r="H104" t="inlineStr">
        <is>
          <t>AUD</t>
        </is>
      </c>
    </row>
    <row r="105">
      <c r="A105" t="inlineStr">
        <is>
          <t>B104</t>
        </is>
      </c>
      <c r="B105" t="inlineStr">
        <is>
          <t>MSFT</t>
        </is>
      </c>
      <c r="C105" s="5" t="n">
        <v>43738</v>
      </c>
      <c r="D105" t="n">
        <v>6</v>
      </c>
      <c r="E105" t="n">
        <v>139.03</v>
      </c>
      <c r="F105" t="inlineStr">
        <is>
          <t>USD</t>
        </is>
      </c>
      <c r="G105" t="n">
        <v>5</v>
      </c>
      <c r="H105" t="inlineStr">
        <is>
          <t>USD</t>
        </is>
      </c>
    </row>
    <row r="106">
      <c r="A106" t="inlineStr">
        <is>
          <t>B105</t>
        </is>
      </c>
      <c r="B106" t="inlineStr">
        <is>
          <t>A200</t>
        </is>
      </c>
      <c r="C106" s="5" t="n">
        <v>43740</v>
      </c>
      <c r="D106" t="n">
        <v>10</v>
      </c>
      <c r="E106" t="n">
        <v>111.09</v>
      </c>
      <c r="F106" t="inlineStr">
        <is>
          <t>AUD</t>
        </is>
      </c>
      <c r="G106" t="n">
        <v>9.5</v>
      </c>
      <c r="H106" t="inlineStr">
        <is>
          <t>AUD</t>
        </is>
      </c>
    </row>
    <row r="107">
      <c r="A107" t="inlineStr">
        <is>
          <t>B106</t>
        </is>
      </c>
      <c r="B107" t="inlineStr">
        <is>
          <t>VGS</t>
        </is>
      </c>
      <c r="C107" s="5" t="n">
        <v>43740</v>
      </c>
      <c r="D107" t="n">
        <v>17</v>
      </c>
      <c r="E107" t="n">
        <v>77.61</v>
      </c>
      <c r="F107" t="inlineStr">
        <is>
          <t>AUD</t>
        </is>
      </c>
      <c r="G107" t="n">
        <v>9.5</v>
      </c>
      <c r="H107" t="inlineStr">
        <is>
          <t>AUD</t>
        </is>
      </c>
    </row>
    <row r="108">
      <c r="A108" t="inlineStr">
        <is>
          <t>B107</t>
        </is>
      </c>
      <c r="B108" t="inlineStr">
        <is>
          <t>AAPL</t>
        </is>
      </c>
      <c r="C108" s="5" t="n">
        <v>43759</v>
      </c>
      <c r="D108" t="n">
        <v>3</v>
      </c>
      <c r="E108" t="n">
        <v>240.51</v>
      </c>
      <c r="F108" t="inlineStr">
        <is>
          <t>USD</t>
        </is>
      </c>
      <c r="G108" t="n">
        <v>5</v>
      </c>
      <c r="H108" t="inlineStr">
        <is>
          <t>USD</t>
        </is>
      </c>
    </row>
    <row r="109">
      <c r="A109" t="inlineStr">
        <is>
          <t>B108</t>
        </is>
      </c>
      <c r="B109" t="inlineStr">
        <is>
          <t>A200</t>
        </is>
      </c>
      <c r="C109" s="5" t="n">
        <v>43775</v>
      </c>
      <c r="D109" t="n">
        <v>8</v>
      </c>
      <c r="E109" t="n">
        <v>111.39</v>
      </c>
      <c r="F109" t="inlineStr">
        <is>
          <t>AUD</t>
        </is>
      </c>
      <c r="G109" t="n">
        <v>9.5</v>
      </c>
      <c r="H109" t="inlineStr">
        <is>
          <t>AUD</t>
        </is>
      </c>
    </row>
    <row r="110">
      <c r="A110" t="inlineStr">
        <is>
          <t>B109</t>
        </is>
      </c>
      <c r="B110" t="inlineStr">
        <is>
          <t>VGS</t>
        </is>
      </c>
      <c r="C110" s="5" t="n">
        <v>43775</v>
      </c>
      <c r="D110" t="n">
        <v>15</v>
      </c>
      <c r="E110" t="n">
        <v>79.08</v>
      </c>
      <c r="F110" t="inlineStr">
        <is>
          <t>AUD</t>
        </is>
      </c>
      <c r="G110" t="n">
        <v>9.5</v>
      </c>
      <c r="H110" t="inlineStr">
        <is>
          <t>AUD</t>
        </is>
      </c>
    </row>
    <row r="111">
      <c r="A111" t="inlineStr">
        <is>
          <t>B110</t>
        </is>
      </c>
      <c r="B111" t="inlineStr">
        <is>
          <t>A200</t>
        </is>
      </c>
      <c r="C111" s="5" t="n">
        <v>43802</v>
      </c>
      <c r="D111" t="n">
        <v>15</v>
      </c>
      <c r="E111" t="n">
        <v>112.7</v>
      </c>
      <c r="F111" t="inlineStr">
        <is>
          <t>AUD</t>
        </is>
      </c>
      <c r="G111" t="n">
        <v>9.5</v>
      </c>
      <c r="H111" t="inlineStr">
        <is>
          <t>AUD</t>
        </is>
      </c>
    </row>
    <row r="112">
      <c r="A112" t="inlineStr">
        <is>
          <t>B111</t>
        </is>
      </c>
      <c r="B112" t="inlineStr">
        <is>
          <t>VGS</t>
        </is>
      </c>
      <c r="C112" s="5" t="n">
        <v>43802</v>
      </c>
      <c r="D112" t="n">
        <v>26</v>
      </c>
      <c r="E112" t="n">
        <v>80.67</v>
      </c>
      <c r="F112" t="inlineStr">
        <is>
          <t>AUD</t>
        </is>
      </c>
      <c r="G112" t="n">
        <v>9.5</v>
      </c>
      <c r="H112" t="inlineStr">
        <is>
          <t>AUD</t>
        </is>
      </c>
    </row>
    <row r="113">
      <c r="A113" t="inlineStr">
        <is>
          <t>B112</t>
        </is>
      </c>
      <c r="B113" t="inlineStr">
        <is>
          <t>A200</t>
        </is>
      </c>
      <c r="C113" s="5" t="n">
        <v>43836</v>
      </c>
      <c r="D113" t="n">
        <v>14</v>
      </c>
      <c r="E113" t="n">
        <v>112.35</v>
      </c>
      <c r="F113" t="inlineStr">
        <is>
          <t>AUD</t>
        </is>
      </c>
      <c r="G113" t="n">
        <v>9.5</v>
      </c>
      <c r="H113" t="inlineStr">
        <is>
          <t>AUD</t>
        </is>
      </c>
    </row>
    <row r="114">
      <c r="A114" t="inlineStr">
        <is>
          <t>B113</t>
        </is>
      </c>
      <c r="B114" t="inlineStr">
        <is>
          <t>VGS</t>
        </is>
      </c>
      <c r="C114" s="5" t="n">
        <v>43836</v>
      </c>
      <c r="D114" t="n">
        <v>24</v>
      </c>
      <c r="E114" t="n">
        <v>81.73</v>
      </c>
      <c r="F114" t="inlineStr">
        <is>
          <t>AUD</t>
        </is>
      </c>
      <c r="G114" t="n">
        <v>9.5</v>
      </c>
      <c r="H114" t="inlineStr">
        <is>
          <t>AUD</t>
        </is>
      </c>
    </row>
    <row r="115">
      <c r="A115" t="inlineStr">
        <is>
          <t>B114</t>
        </is>
      </c>
      <c r="B115" t="inlineStr">
        <is>
          <t>AAPL</t>
        </is>
      </c>
      <c r="C115" s="5" t="n">
        <v>43846</v>
      </c>
      <c r="D115" t="n">
        <v>2</v>
      </c>
      <c r="E115" t="n">
        <v>315.24</v>
      </c>
      <c r="F115" t="inlineStr">
        <is>
          <t>USD</t>
        </is>
      </c>
      <c r="G115" t="n">
        <v>5</v>
      </c>
      <c r="H115" t="inlineStr">
        <is>
          <t>USD</t>
        </is>
      </c>
    </row>
    <row r="116">
      <c r="A116" t="inlineStr">
        <is>
          <t>B115</t>
        </is>
      </c>
      <c r="B116" t="inlineStr">
        <is>
          <t>A200</t>
        </is>
      </c>
      <c r="C116" s="5" t="n">
        <v>43866</v>
      </c>
      <c r="D116" t="n">
        <v>8</v>
      </c>
      <c r="E116" t="n">
        <v>116.29</v>
      </c>
      <c r="F116" t="inlineStr">
        <is>
          <t>AUD</t>
        </is>
      </c>
      <c r="G116" t="n">
        <v>9.5</v>
      </c>
      <c r="H116" t="inlineStr">
        <is>
          <t>AUD</t>
        </is>
      </c>
    </row>
    <row r="117">
      <c r="A117" t="inlineStr">
        <is>
          <t>B116</t>
        </is>
      </c>
      <c r="B117" t="inlineStr">
        <is>
          <t>VGS</t>
        </is>
      </c>
      <c r="C117" s="5" t="n">
        <v>43866</v>
      </c>
      <c r="D117" t="n">
        <v>14</v>
      </c>
      <c r="E117" t="n">
        <v>85.38</v>
      </c>
      <c r="F117" t="inlineStr">
        <is>
          <t>AUD</t>
        </is>
      </c>
      <c r="G117" t="n">
        <v>9.5</v>
      </c>
      <c r="H117" t="inlineStr">
        <is>
          <t>AUD</t>
        </is>
      </c>
    </row>
    <row r="118">
      <c r="A118" t="inlineStr">
        <is>
          <t>B117</t>
        </is>
      </c>
      <c r="B118" t="inlineStr">
        <is>
          <t>MSFT</t>
        </is>
      </c>
      <c r="C118" s="5" t="n">
        <v>43879</v>
      </c>
      <c r="D118" t="n">
        <v>3</v>
      </c>
      <c r="E118" t="n">
        <v>187.23</v>
      </c>
      <c r="F118" t="inlineStr">
        <is>
          <t>USD</t>
        </is>
      </c>
      <c r="G118" t="n">
        <v>5</v>
      </c>
      <c r="H118" t="inlineStr">
        <is>
          <t>USD</t>
        </is>
      </c>
    </row>
    <row r="119">
      <c r="A119" t="inlineStr">
        <is>
          <t>B118</t>
        </is>
      </c>
      <c r="B119" t="inlineStr">
        <is>
          <t>A200</t>
        </is>
      </c>
      <c r="C119" s="5" t="n">
        <v>43895</v>
      </c>
      <c r="D119" t="n">
        <v>8</v>
      </c>
      <c r="E119" t="n">
        <v>107.68</v>
      </c>
      <c r="F119" t="inlineStr">
        <is>
          <t>AUD</t>
        </is>
      </c>
      <c r="G119" t="n">
        <v>9.5</v>
      </c>
      <c r="H119" t="inlineStr">
        <is>
          <t>AUD</t>
        </is>
      </c>
    </row>
    <row r="120">
      <c r="A120" t="inlineStr">
        <is>
          <t>B119</t>
        </is>
      </c>
      <c r="B120" t="inlineStr">
        <is>
          <t>VGS</t>
        </is>
      </c>
      <c r="C120" s="5" t="n">
        <v>43895</v>
      </c>
      <c r="D120" t="n">
        <v>12</v>
      </c>
      <c r="E120" t="n">
        <v>81.36</v>
      </c>
      <c r="F120" t="inlineStr">
        <is>
          <t>AUD</t>
        </is>
      </c>
      <c r="G120" t="n">
        <v>9.5</v>
      </c>
      <c r="H120" t="inlineStr">
        <is>
          <t>AUD</t>
        </is>
      </c>
    </row>
    <row r="121">
      <c r="A121" t="inlineStr">
        <is>
          <t>B120</t>
        </is>
      </c>
      <c r="B121" t="inlineStr">
        <is>
          <t>WES</t>
        </is>
      </c>
      <c r="C121" s="5" t="n">
        <v>43910</v>
      </c>
      <c r="D121" t="n">
        <v>28</v>
      </c>
      <c r="E121" t="n">
        <v>33.28</v>
      </c>
      <c r="F121" t="inlineStr">
        <is>
          <t>AUD</t>
        </is>
      </c>
      <c r="G121" t="n">
        <v>19.95</v>
      </c>
      <c r="H121" t="inlineStr">
        <is>
          <t>AUD</t>
        </is>
      </c>
    </row>
    <row r="122">
      <c r="A122" t="inlineStr">
        <is>
          <t>B121</t>
        </is>
      </c>
      <c r="B122" t="inlineStr">
        <is>
          <t>A200</t>
        </is>
      </c>
      <c r="C122" s="5" t="n">
        <v>43923</v>
      </c>
      <c r="D122" t="n">
        <v>7</v>
      </c>
      <c r="E122" t="n">
        <v>86.75</v>
      </c>
      <c r="F122" t="inlineStr">
        <is>
          <t>AUD</t>
        </is>
      </c>
      <c r="G122" t="n">
        <v>9.5</v>
      </c>
      <c r="H122" t="inlineStr">
        <is>
          <t>AUD</t>
        </is>
      </c>
    </row>
    <row r="123">
      <c r="A123" t="inlineStr">
        <is>
          <t>B122</t>
        </is>
      </c>
      <c r="B123" t="inlineStr">
        <is>
          <t>MSFT</t>
        </is>
      </c>
      <c r="C123" s="5" t="n">
        <v>43923</v>
      </c>
      <c r="D123" t="n">
        <v>2</v>
      </c>
      <c r="E123" t="n">
        <v>155.26</v>
      </c>
      <c r="F123" t="inlineStr">
        <is>
          <t>USD</t>
        </is>
      </c>
      <c r="G123" t="n">
        <v>5</v>
      </c>
      <c r="H123" t="inlineStr">
        <is>
          <t>USD</t>
        </is>
      </c>
    </row>
    <row r="124">
      <c r="A124" t="inlineStr">
        <is>
          <t>B123</t>
        </is>
      </c>
      <c r="B124" t="inlineStr">
        <is>
          <t>VGS</t>
        </is>
      </c>
      <c r="C124" s="5" t="n">
        <v>43923</v>
      </c>
      <c r="D124" t="n">
        <v>11</v>
      </c>
      <c r="E124" t="n">
        <v>70.95</v>
      </c>
      <c r="F124" t="inlineStr">
        <is>
          <t>AUD</t>
        </is>
      </c>
      <c r="G124" t="n">
        <v>9.5</v>
      </c>
      <c r="H124" t="inlineStr">
        <is>
          <t>AUD</t>
        </is>
      </c>
    </row>
    <row r="125">
      <c r="A125" t="inlineStr">
        <is>
          <t>B124</t>
        </is>
      </c>
      <c r="B125" t="inlineStr">
        <is>
          <t>BHP</t>
        </is>
      </c>
      <c r="C125" s="5" t="n">
        <v>43935</v>
      </c>
      <c r="D125" t="n">
        <v>52</v>
      </c>
      <c r="E125" t="n">
        <v>28.1903</v>
      </c>
      <c r="F125" t="inlineStr">
        <is>
          <t>AUD</t>
        </is>
      </c>
      <c r="G125" t="n">
        <v>19.95</v>
      </c>
      <c r="H125" t="inlineStr">
        <is>
          <t>AUD</t>
        </is>
      </c>
    </row>
    <row r="126">
      <c r="A126" t="inlineStr">
        <is>
          <t>B125</t>
        </is>
      </c>
      <c r="B126" t="inlineStr">
        <is>
          <t>A200</t>
        </is>
      </c>
      <c r="C126" s="5" t="n">
        <v>43955</v>
      </c>
      <c r="D126" t="n">
        <v>13</v>
      </c>
      <c r="E126" t="n">
        <v>89.43000000000001</v>
      </c>
      <c r="F126" t="inlineStr">
        <is>
          <t>AUD</t>
        </is>
      </c>
      <c r="G126" t="n">
        <v>9.5</v>
      </c>
      <c r="H126" t="inlineStr">
        <is>
          <t>AUD</t>
        </is>
      </c>
    </row>
    <row r="127">
      <c r="A127" t="inlineStr">
        <is>
          <t>B126</t>
        </is>
      </c>
      <c r="B127" t="inlineStr">
        <is>
          <t>VGS</t>
        </is>
      </c>
      <c r="C127" s="5" t="n">
        <v>43955</v>
      </c>
      <c r="D127" t="n">
        <v>20</v>
      </c>
      <c r="E127" t="n">
        <v>74.75</v>
      </c>
      <c r="F127" t="inlineStr">
        <is>
          <t>AUD</t>
        </is>
      </c>
      <c r="G127" t="n">
        <v>9.5</v>
      </c>
      <c r="H127" t="inlineStr">
        <is>
          <t>AUD</t>
        </is>
      </c>
    </row>
    <row r="128">
      <c r="A128" t="inlineStr">
        <is>
          <t>B127</t>
        </is>
      </c>
      <c r="B128" t="inlineStr">
        <is>
          <t>A200</t>
        </is>
      </c>
      <c r="C128" s="5" t="n">
        <v>43984</v>
      </c>
      <c r="D128" t="n">
        <v>13</v>
      </c>
      <c r="E128" t="n">
        <v>98.2</v>
      </c>
      <c r="F128" t="inlineStr">
        <is>
          <t>AUD</t>
        </is>
      </c>
      <c r="G128" t="n">
        <v>9.5</v>
      </c>
      <c r="H128" t="inlineStr">
        <is>
          <t>AUD</t>
        </is>
      </c>
    </row>
    <row r="129">
      <c r="A129" t="inlineStr">
        <is>
          <t>B128</t>
        </is>
      </c>
      <c r="B129" t="inlineStr">
        <is>
          <t>VGS</t>
        </is>
      </c>
      <c r="C129" s="5" t="n">
        <v>43984</v>
      </c>
      <c r="D129" t="n">
        <v>21</v>
      </c>
      <c r="E129" t="n">
        <v>77.23</v>
      </c>
      <c r="F129" t="inlineStr">
        <is>
          <t>AUD</t>
        </is>
      </c>
      <c r="G129" t="n">
        <v>9.5</v>
      </c>
      <c r="H129" t="inlineStr">
        <is>
          <t>AUD</t>
        </is>
      </c>
    </row>
    <row r="130">
      <c r="A130" t="inlineStr">
        <is>
          <t>B129</t>
        </is>
      </c>
      <c r="B130" t="inlineStr">
        <is>
          <t>MSFT</t>
        </is>
      </c>
      <c r="C130" s="5" t="n">
        <v>43990</v>
      </c>
      <c r="D130" t="n">
        <v>4</v>
      </c>
      <c r="E130" t="n">
        <v>188.36</v>
      </c>
      <c r="F130" t="inlineStr">
        <is>
          <t>USD</t>
        </is>
      </c>
      <c r="G130" t="n">
        <v>5</v>
      </c>
      <c r="H130" t="inlineStr">
        <is>
          <t>USD</t>
        </is>
      </c>
    </row>
    <row r="131">
      <c r="A131" t="inlineStr">
        <is>
          <t>B130</t>
        </is>
      </c>
      <c r="B131" t="inlineStr">
        <is>
          <t>AMZN</t>
        </is>
      </c>
      <c r="C131" s="5" t="n">
        <v>44004</v>
      </c>
      <c r="D131" t="n">
        <v>1</v>
      </c>
      <c r="E131" t="n">
        <v>2713.8199</v>
      </c>
      <c r="F131" t="inlineStr">
        <is>
          <t>USD</t>
        </is>
      </c>
      <c r="G131" t="n">
        <v>5</v>
      </c>
      <c r="H131" t="inlineStr">
        <is>
          <t>USD</t>
        </is>
      </c>
    </row>
    <row r="132">
      <c r="A132" t="inlineStr">
        <is>
          <t>B131</t>
        </is>
      </c>
      <c r="B132" t="inlineStr">
        <is>
          <t>A200</t>
        </is>
      </c>
      <c r="C132" s="5" t="n">
        <v>44018</v>
      </c>
      <c r="D132" t="n">
        <v>13</v>
      </c>
      <c r="E132" t="n">
        <v>100.87</v>
      </c>
      <c r="F132" t="inlineStr">
        <is>
          <t>AUD</t>
        </is>
      </c>
      <c r="G132" t="n">
        <v>9.5</v>
      </c>
      <c r="H132" t="inlineStr">
        <is>
          <t>AUD</t>
        </is>
      </c>
    </row>
    <row r="133">
      <c r="A133" t="inlineStr">
        <is>
          <t>B132</t>
        </is>
      </c>
      <c r="B133" t="inlineStr">
        <is>
          <t>VGS</t>
        </is>
      </c>
      <c r="C133" s="5" t="n">
        <v>44018</v>
      </c>
      <c r="D133" t="n">
        <v>21</v>
      </c>
      <c r="E133" t="n">
        <v>77.89</v>
      </c>
      <c r="F133" t="inlineStr">
        <is>
          <t>AUD</t>
        </is>
      </c>
      <c r="G133" t="n">
        <v>9.5</v>
      </c>
      <c r="H133" t="inlineStr">
        <is>
          <t>AUD</t>
        </is>
      </c>
    </row>
    <row r="134">
      <c r="A134" t="inlineStr">
        <is>
          <t>B133</t>
        </is>
      </c>
      <c r="B134" t="inlineStr">
        <is>
          <t>MSFT</t>
        </is>
      </c>
      <c r="C134" s="5" t="n">
        <v>44025</v>
      </c>
      <c r="D134" t="n">
        <v>1</v>
      </c>
      <c r="E134" t="n">
        <v>207.07</v>
      </c>
      <c r="F134" t="inlineStr">
        <is>
          <t>USD</t>
        </is>
      </c>
      <c r="G134" t="n">
        <v>5</v>
      </c>
      <c r="H134" t="inlineStr">
        <is>
          <t>USD</t>
        </is>
      </c>
    </row>
    <row r="135">
      <c r="A135" t="inlineStr">
        <is>
          <t>B134</t>
        </is>
      </c>
      <c r="B135" t="inlineStr">
        <is>
          <t>AAPL</t>
        </is>
      </c>
      <c r="C135" s="5" t="n">
        <v>44039</v>
      </c>
      <c r="D135" t="n">
        <v>2</v>
      </c>
      <c r="E135" t="n">
        <v>379.24</v>
      </c>
      <c r="F135" t="inlineStr">
        <is>
          <t>USD</t>
        </is>
      </c>
      <c r="G135" t="n">
        <v>5</v>
      </c>
      <c r="H135" t="inlineStr">
        <is>
          <t>USD</t>
        </is>
      </c>
    </row>
    <row r="136">
      <c r="A136" t="inlineStr">
        <is>
          <t>B135</t>
        </is>
      </c>
      <c r="B136" t="inlineStr">
        <is>
          <t>AAPL</t>
        </is>
      </c>
      <c r="C136" s="5" t="n">
        <v>44040</v>
      </c>
      <c r="D136" t="n">
        <v>1</v>
      </c>
      <c r="E136" t="n">
        <v>373.01</v>
      </c>
      <c r="F136" t="inlineStr">
        <is>
          <t>USD</t>
        </is>
      </c>
      <c r="G136" t="n">
        <v>5</v>
      </c>
      <c r="H136" t="inlineStr">
        <is>
          <t>USD</t>
        </is>
      </c>
    </row>
    <row r="137">
      <c r="A137" t="inlineStr">
        <is>
          <t>B136</t>
        </is>
      </c>
      <c r="B137" t="inlineStr">
        <is>
          <t>A200</t>
        </is>
      </c>
      <c r="C137" s="5" t="n">
        <v>44046</v>
      </c>
      <c r="D137" t="n">
        <v>6</v>
      </c>
      <c r="E137" t="n">
        <v>99.06999999999999</v>
      </c>
      <c r="F137" t="inlineStr">
        <is>
          <t>AUD</t>
        </is>
      </c>
      <c r="G137" t="n">
        <v>9.5</v>
      </c>
      <c r="H137" t="inlineStr">
        <is>
          <t>AUD</t>
        </is>
      </c>
    </row>
    <row r="138">
      <c r="A138" t="inlineStr">
        <is>
          <t>B137</t>
        </is>
      </c>
      <c r="B138" t="inlineStr">
        <is>
          <t>VGS</t>
        </is>
      </c>
      <c r="C138" s="5" t="n">
        <v>44046</v>
      </c>
      <c r="D138" t="n">
        <v>10</v>
      </c>
      <c r="E138" t="n">
        <v>77.70999999999999</v>
      </c>
      <c r="F138" t="inlineStr">
        <is>
          <t>AUD</t>
        </is>
      </c>
      <c r="G138" t="n">
        <v>9.5</v>
      </c>
      <c r="H138" t="inlineStr">
        <is>
          <t>AUD</t>
        </is>
      </c>
    </row>
    <row r="139">
      <c r="A139" t="inlineStr">
        <is>
          <t>B138</t>
        </is>
      </c>
      <c r="B139" t="inlineStr">
        <is>
          <t>A200</t>
        </is>
      </c>
      <c r="C139" s="5" t="n">
        <v>44081</v>
      </c>
      <c r="D139" t="n">
        <v>15</v>
      </c>
      <c r="E139" t="n">
        <v>99.95</v>
      </c>
      <c r="F139" t="inlineStr">
        <is>
          <t>AUD</t>
        </is>
      </c>
      <c r="G139" t="n">
        <v>9.5</v>
      </c>
      <c r="H139" t="inlineStr">
        <is>
          <t>AUD</t>
        </is>
      </c>
    </row>
    <row r="140">
      <c r="A140" t="inlineStr">
        <is>
          <t>B139</t>
        </is>
      </c>
      <c r="B140" t="inlineStr">
        <is>
          <t>VGS</t>
        </is>
      </c>
      <c r="C140" s="5" t="n">
        <v>44081</v>
      </c>
      <c r="D140" t="n">
        <v>23</v>
      </c>
      <c r="E140" t="n">
        <v>79.28</v>
      </c>
      <c r="F140" t="inlineStr">
        <is>
          <t>AUD</t>
        </is>
      </c>
      <c r="G140" t="n">
        <v>9.5</v>
      </c>
      <c r="H140" t="inlineStr">
        <is>
          <t>AUD</t>
        </is>
      </c>
    </row>
    <row r="141">
      <c r="A141" t="inlineStr">
        <is>
          <t>B140</t>
        </is>
      </c>
      <c r="B141" t="inlineStr">
        <is>
          <t>AMZN</t>
        </is>
      </c>
      <c r="C141" s="5" t="n">
        <v>44083</v>
      </c>
      <c r="D141" t="n">
        <v>1</v>
      </c>
      <c r="E141" t="n">
        <v>3268.6099</v>
      </c>
      <c r="F141" t="inlineStr">
        <is>
          <t>USD</t>
        </is>
      </c>
      <c r="G141" t="n">
        <v>5</v>
      </c>
      <c r="H141" t="inlineStr">
        <is>
          <t>USD</t>
        </is>
      </c>
    </row>
    <row r="142">
      <c r="A142" t="inlineStr">
        <is>
          <t>B141</t>
        </is>
      </c>
      <c r="B142" t="inlineStr">
        <is>
          <t>A200</t>
        </is>
      </c>
      <c r="C142" s="5" t="n">
        <v>44109</v>
      </c>
      <c r="D142" t="n">
        <v>14</v>
      </c>
      <c r="E142" t="n">
        <v>99.53</v>
      </c>
      <c r="F142" t="inlineStr">
        <is>
          <t>AUD</t>
        </is>
      </c>
      <c r="G142" t="n">
        <v>9.5</v>
      </c>
      <c r="H142" t="inlineStr">
        <is>
          <t>AUD</t>
        </is>
      </c>
    </row>
    <row r="143">
      <c r="A143" t="inlineStr">
        <is>
          <t>B142</t>
        </is>
      </c>
      <c r="B143" t="inlineStr">
        <is>
          <t>VGS</t>
        </is>
      </c>
      <c r="C143" s="5" t="n">
        <v>44109</v>
      </c>
      <c r="D143" t="n">
        <v>22</v>
      </c>
      <c r="E143" t="n">
        <v>79.66</v>
      </c>
      <c r="F143" t="inlineStr">
        <is>
          <t>AUD</t>
        </is>
      </c>
      <c r="G143" t="n">
        <v>9.5</v>
      </c>
      <c r="H143" t="inlineStr">
        <is>
          <t>AUD</t>
        </is>
      </c>
    </row>
    <row r="144">
      <c r="A144" t="inlineStr">
        <is>
          <t>B143</t>
        </is>
      </c>
      <c r="B144" t="inlineStr">
        <is>
          <t>AAPL</t>
        </is>
      </c>
      <c r="C144" s="5" t="n">
        <v>44116</v>
      </c>
      <c r="D144" t="n">
        <v>6</v>
      </c>
      <c r="E144" t="n">
        <v>124.4</v>
      </c>
      <c r="F144" t="inlineStr">
        <is>
          <t>USD</t>
        </is>
      </c>
      <c r="G144" t="n">
        <v>5</v>
      </c>
      <c r="H144" t="inlineStr">
        <is>
          <t>USD</t>
        </is>
      </c>
    </row>
    <row r="145">
      <c r="A145" t="inlineStr">
        <is>
          <t>B144</t>
        </is>
      </c>
      <c r="B145" t="inlineStr">
        <is>
          <t>A200</t>
        </is>
      </c>
      <c r="C145" s="5" t="n">
        <v>44141</v>
      </c>
      <c r="D145" t="n">
        <v>8</v>
      </c>
      <c r="E145" t="n">
        <v>103.72</v>
      </c>
      <c r="F145" t="inlineStr">
        <is>
          <t>AUD</t>
        </is>
      </c>
      <c r="G145" t="n">
        <v>9.5</v>
      </c>
      <c r="H145" t="inlineStr">
        <is>
          <t>AUD</t>
        </is>
      </c>
    </row>
    <row r="146">
      <c r="A146" t="inlineStr">
        <is>
          <t>B145</t>
        </is>
      </c>
      <c r="B146" t="inlineStr">
        <is>
          <t>VGS</t>
        </is>
      </c>
      <c r="C146" s="5" t="n">
        <v>44141</v>
      </c>
      <c r="D146" t="n">
        <v>13</v>
      </c>
      <c r="E146" t="n">
        <v>81.22</v>
      </c>
      <c r="F146" t="inlineStr">
        <is>
          <t>AUD</t>
        </is>
      </c>
      <c r="G146" t="n">
        <v>9.5</v>
      </c>
      <c r="H146" t="inlineStr">
        <is>
          <t>AUD</t>
        </is>
      </c>
    </row>
    <row r="147">
      <c r="A147" t="inlineStr">
        <is>
          <t>B146</t>
        </is>
      </c>
      <c r="B147" t="inlineStr">
        <is>
          <t>A200</t>
        </is>
      </c>
      <c r="C147" s="5" t="n">
        <v>44172</v>
      </c>
      <c r="D147" t="n">
        <v>13</v>
      </c>
      <c r="E147" t="n">
        <v>112.11</v>
      </c>
      <c r="F147" t="inlineStr">
        <is>
          <t>AUD</t>
        </is>
      </c>
      <c r="G147" t="n">
        <v>9.5</v>
      </c>
      <c r="H147" t="inlineStr">
        <is>
          <t>AUD</t>
        </is>
      </c>
    </row>
    <row r="148">
      <c r="A148" t="inlineStr">
        <is>
          <t>B147</t>
        </is>
      </c>
      <c r="B148" t="inlineStr">
        <is>
          <t>VGS</t>
        </is>
      </c>
      <c r="C148" s="5" t="n">
        <v>44172</v>
      </c>
      <c r="D148" t="n">
        <v>22</v>
      </c>
      <c r="E148" t="n">
        <v>85.37</v>
      </c>
      <c r="F148" t="inlineStr">
        <is>
          <t>AUD</t>
        </is>
      </c>
      <c r="G148" t="n">
        <v>9.5</v>
      </c>
      <c r="H148" t="inlineStr">
        <is>
          <t>AUD</t>
        </is>
      </c>
    </row>
    <row r="149">
      <c r="A149" t="inlineStr">
        <is>
          <t>B148</t>
        </is>
      </c>
      <c r="B149" t="inlineStr">
        <is>
          <t>A200</t>
        </is>
      </c>
      <c r="C149" s="5" t="n">
        <v>44200</v>
      </c>
      <c r="D149" t="n">
        <v>9</v>
      </c>
      <c r="E149" t="n">
        <v>111.66</v>
      </c>
      <c r="F149" t="inlineStr">
        <is>
          <t>AUD</t>
        </is>
      </c>
      <c r="G149" t="n">
        <v>9.5</v>
      </c>
      <c r="H149" t="inlineStr">
        <is>
          <t>AUD</t>
        </is>
      </c>
    </row>
    <row r="150">
      <c r="A150" t="inlineStr">
        <is>
          <t>B149</t>
        </is>
      </c>
      <c r="B150" t="inlineStr">
        <is>
          <t>VGS</t>
        </is>
      </c>
      <c r="C150" s="5" t="n">
        <v>44200</v>
      </c>
      <c r="D150" t="n">
        <v>15</v>
      </c>
      <c r="E150" t="n">
        <v>83.83</v>
      </c>
      <c r="F150" t="inlineStr">
        <is>
          <t>AUD</t>
        </is>
      </c>
      <c r="G150" t="n">
        <v>9.5</v>
      </c>
      <c r="H150" t="inlineStr">
        <is>
          <t>AUD</t>
        </is>
      </c>
    </row>
    <row r="151">
      <c r="A151" t="inlineStr">
        <is>
          <t>B150</t>
        </is>
      </c>
      <c r="B151" t="inlineStr">
        <is>
          <t>A200</t>
        </is>
      </c>
      <c r="C151" s="5" t="n">
        <v>44230</v>
      </c>
      <c r="D151" t="n">
        <v>13</v>
      </c>
      <c r="E151" t="n">
        <v>114.51</v>
      </c>
      <c r="F151" t="inlineStr">
        <is>
          <t>AUD</t>
        </is>
      </c>
      <c r="G151" t="n">
        <v>9.5</v>
      </c>
      <c r="H151" t="inlineStr">
        <is>
          <t>AUD</t>
        </is>
      </c>
    </row>
    <row r="152">
      <c r="A152" t="inlineStr">
        <is>
          <t>B151</t>
        </is>
      </c>
      <c r="B152" t="inlineStr">
        <is>
          <t>VGS</t>
        </is>
      </c>
      <c r="C152" s="5" t="n">
        <v>44230</v>
      </c>
      <c r="D152" t="n">
        <v>21</v>
      </c>
      <c r="E152" t="n">
        <v>86.47</v>
      </c>
      <c r="F152" t="inlineStr">
        <is>
          <t>AUD</t>
        </is>
      </c>
      <c r="G152" t="n">
        <v>9.5</v>
      </c>
      <c r="H152" t="inlineStr">
        <is>
          <t>AUD</t>
        </is>
      </c>
    </row>
    <row r="153">
      <c r="A153" t="inlineStr">
        <is>
          <t>B152</t>
        </is>
      </c>
      <c r="B153" t="inlineStr">
        <is>
          <t>CBA</t>
        </is>
      </c>
      <c r="C153" s="5" t="n">
        <v>44243</v>
      </c>
      <c r="D153" t="n">
        <v>7</v>
      </c>
      <c r="E153" t="n">
        <v>85.91</v>
      </c>
      <c r="F153" t="inlineStr">
        <is>
          <t>AUD</t>
        </is>
      </c>
      <c r="G153" t="n">
        <v>19.95</v>
      </c>
      <c r="H153" t="inlineStr">
        <is>
          <t>AUD</t>
        </is>
      </c>
    </row>
    <row r="154">
      <c r="A154" t="inlineStr">
        <is>
          <t>B153</t>
        </is>
      </c>
      <c r="B154" t="inlineStr">
        <is>
          <t>A200</t>
        </is>
      </c>
      <c r="C154" s="5" t="n">
        <v>44259</v>
      </c>
      <c r="D154" t="n">
        <v>10</v>
      </c>
      <c r="E154" t="n">
        <v>113.99</v>
      </c>
      <c r="F154" t="inlineStr">
        <is>
          <t>AUD</t>
        </is>
      </c>
      <c r="G154" t="n">
        <v>9.5</v>
      </c>
      <c r="H154" t="inlineStr">
        <is>
          <t>AUD</t>
        </is>
      </c>
    </row>
    <row r="155">
      <c r="A155" t="inlineStr">
        <is>
          <t>B154</t>
        </is>
      </c>
      <c r="B155" t="inlineStr">
        <is>
          <t>VGS</t>
        </is>
      </c>
      <c r="C155" s="5" t="n">
        <v>44259</v>
      </c>
      <c r="D155" t="n">
        <v>16</v>
      </c>
      <c r="E155" t="n">
        <v>83.81</v>
      </c>
      <c r="F155" t="inlineStr">
        <is>
          <t>AUD</t>
        </is>
      </c>
      <c r="G155" t="n">
        <v>9.5</v>
      </c>
      <c r="H155" t="inlineStr">
        <is>
          <t>AUD</t>
        </is>
      </c>
    </row>
    <row r="156">
      <c r="A156" t="inlineStr">
        <is>
          <t>B155</t>
        </is>
      </c>
      <c r="B156" t="inlineStr">
        <is>
          <t>A200</t>
        </is>
      </c>
      <c r="C156" s="5" t="n">
        <v>44292</v>
      </c>
      <c r="D156" t="n">
        <v>9</v>
      </c>
      <c r="E156" t="n">
        <v>116</v>
      </c>
      <c r="F156" t="inlineStr">
        <is>
          <t>AUD</t>
        </is>
      </c>
      <c r="G156" t="n">
        <v>9.5</v>
      </c>
      <c r="H156" t="inlineStr">
        <is>
          <t>AUD</t>
        </is>
      </c>
    </row>
    <row r="157">
      <c r="A157" t="inlineStr">
        <is>
          <t>B156</t>
        </is>
      </c>
      <c r="B157" t="inlineStr">
        <is>
          <t>VGS</t>
        </is>
      </c>
      <c r="C157" s="5" t="n">
        <v>44292</v>
      </c>
      <c r="D157" t="n">
        <v>15</v>
      </c>
      <c r="E157" t="n">
        <v>90.06999999999999</v>
      </c>
      <c r="F157" t="inlineStr">
        <is>
          <t>AUD</t>
        </is>
      </c>
      <c r="G157" t="n">
        <v>9.5</v>
      </c>
      <c r="H157" t="inlineStr">
        <is>
          <t>AUD</t>
        </is>
      </c>
    </row>
    <row r="158">
      <c r="A158" t="inlineStr">
        <is>
          <t>B157</t>
        </is>
      </c>
      <c r="B158" t="inlineStr">
        <is>
          <t>MSFT</t>
        </is>
      </c>
      <c r="C158" s="5" t="n">
        <v>44312</v>
      </c>
      <c r="D158" t="n">
        <v>3</v>
      </c>
      <c r="E158" t="n">
        <v>261.55</v>
      </c>
      <c r="F158" t="inlineStr">
        <is>
          <t>USD</t>
        </is>
      </c>
      <c r="G158" t="n">
        <v>5</v>
      </c>
      <c r="H158" t="inlineStr">
        <is>
          <t>USD</t>
        </is>
      </c>
    </row>
    <row r="159">
      <c r="A159" t="inlineStr">
        <is>
          <t>B158</t>
        </is>
      </c>
      <c r="B159" t="inlineStr">
        <is>
          <t>A200</t>
        </is>
      </c>
      <c r="C159" s="5" t="n">
        <v>44319</v>
      </c>
      <c r="D159" t="n">
        <v>13</v>
      </c>
      <c r="E159" t="n">
        <v>118.52</v>
      </c>
      <c r="F159" t="inlineStr">
        <is>
          <t>AUD</t>
        </is>
      </c>
      <c r="G159" t="n">
        <v>9.5</v>
      </c>
      <c r="H159" t="inlineStr">
        <is>
          <t>AUD</t>
        </is>
      </c>
    </row>
    <row r="160">
      <c r="A160" t="inlineStr">
        <is>
          <t>B159</t>
        </is>
      </c>
      <c r="B160" t="inlineStr">
        <is>
          <t>VGS</t>
        </is>
      </c>
      <c r="C160" s="5" t="n">
        <v>44319</v>
      </c>
      <c r="D160" t="n">
        <v>21</v>
      </c>
      <c r="E160" t="n">
        <v>91.69</v>
      </c>
      <c r="F160" t="inlineStr">
        <is>
          <t>AUD</t>
        </is>
      </c>
      <c r="G160" t="n">
        <v>9.5</v>
      </c>
      <c r="H160" t="inlineStr">
        <is>
          <t>AUD</t>
        </is>
      </c>
    </row>
    <row r="161">
      <c r="A161" t="inlineStr">
        <is>
          <t>B160</t>
        </is>
      </c>
      <c r="B161" t="inlineStr">
        <is>
          <t>AMZN</t>
        </is>
      </c>
      <c r="C161" s="5" t="n">
        <v>44335</v>
      </c>
      <c r="D161" t="n">
        <v>1</v>
      </c>
      <c r="E161" t="n">
        <v>3231.7999</v>
      </c>
      <c r="F161" t="inlineStr">
        <is>
          <t>USD</t>
        </is>
      </c>
      <c r="G161" t="n">
        <v>5</v>
      </c>
      <c r="H161" t="inlineStr">
        <is>
          <t>USD</t>
        </is>
      </c>
    </row>
    <row r="162">
      <c r="A162" t="inlineStr">
        <is>
          <t>B161</t>
        </is>
      </c>
      <c r="B162" t="inlineStr">
        <is>
          <t>A200</t>
        </is>
      </c>
      <c r="C162" s="5" t="n">
        <v>44349</v>
      </c>
      <c r="D162" t="n">
        <v>5</v>
      </c>
      <c r="E162" t="n">
        <v>122.3</v>
      </c>
      <c r="F162" t="inlineStr">
        <is>
          <t>AUD</t>
        </is>
      </c>
      <c r="G162" t="n">
        <v>9.5</v>
      </c>
      <c r="H162" t="inlineStr">
        <is>
          <t>AUD</t>
        </is>
      </c>
    </row>
    <row r="163">
      <c r="A163" t="inlineStr">
        <is>
          <t>B162</t>
        </is>
      </c>
      <c r="B163" t="inlineStr">
        <is>
          <t>VGS</t>
        </is>
      </c>
      <c r="C163" s="5" t="n">
        <v>44349</v>
      </c>
      <c r="D163" t="n">
        <v>9</v>
      </c>
      <c r="E163" t="n">
        <v>92.7</v>
      </c>
      <c r="F163" t="inlineStr">
        <is>
          <t>AUD</t>
        </is>
      </c>
      <c r="G163" t="n">
        <v>9.5</v>
      </c>
      <c r="H163" t="inlineStr">
        <is>
          <t>AUD</t>
        </is>
      </c>
    </row>
    <row r="164">
      <c r="A164" t="inlineStr">
        <is>
          <t>B163</t>
        </is>
      </c>
      <c r="B164" t="inlineStr">
        <is>
          <t>A200</t>
        </is>
      </c>
      <c r="C164" s="5" t="n">
        <v>44382</v>
      </c>
      <c r="D164" t="n">
        <v>13</v>
      </c>
      <c r="E164" t="n">
        <v>123.43</v>
      </c>
      <c r="F164" t="inlineStr">
        <is>
          <t>AUD</t>
        </is>
      </c>
      <c r="G164" t="n">
        <v>9.5</v>
      </c>
      <c r="H164" t="inlineStr">
        <is>
          <t>AUD</t>
        </is>
      </c>
    </row>
    <row r="165">
      <c r="A165" t="inlineStr">
        <is>
          <t>B164</t>
        </is>
      </c>
      <c r="B165" t="inlineStr">
        <is>
          <t>VGS</t>
        </is>
      </c>
      <c r="C165" s="5" t="n">
        <v>44382</v>
      </c>
      <c r="D165" t="n">
        <v>21</v>
      </c>
      <c r="E165" t="n">
        <v>96.84999999999999</v>
      </c>
      <c r="F165" t="inlineStr">
        <is>
          <t>AUD</t>
        </is>
      </c>
      <c r="G165" t="n">
        <v>9.5</v>
      </c>
      <c r="H165" t="inlineStr">
        <is>
          <t>AUD</t>
        </is>
      </c>
    </row>
    <row r="166">
      <c r="A166" t="inlineStr">
        <is>
          <t>B165</t>
        </is>
      </c>
      <c r="B166" t="inlineStr">
        <is>
          <t>AMZN</t>
        </is>
      </c>
      <c r="C166" s="5" t="n">
        <v>44396</v>
      </c>
      <c r="D166" t="n">
        <v>1</v>
      </c>
      <c r="E166" t="n">
        <v>3549.5901</v>
      </c>
      <c r="F166" t="inlineStr">
        <is>
          <t>USD</t>
        </is>
      </c>
      <c r="G166" t="n">
        <v>5</v>
      </c>
      <c r="H166" t="inlineStr">
        <is>
          <t>USD</t>
        </is>
      </c>
    </row>
    <row r="167">
      <c r="A167" t="inlineStr">
        <is>
          <t>B166</t>
        </is>
      </c>
      <c r="B167" t="inlineStr">
        <is>
          <t>A200</t>
        </is>
      </c>
      <c r="C167" s="5" t="n">
        <v>44410</v>
      </c>
      <c r="D167" t="n">
        <v>9</v>
      </c>
      <c r="E167" t="n">
        <v>126.5</v>
      </c>
      <c r="F167" t="inlineStr">
        <is>
          <t>AUD</t>
        </is>
      </c>
      <c r="G167" t="n">
        <v>9.5</v>
      </c>
      <c r="H167" t="inlineStr">
        <is>
          <t>AUD</t>
        </is>
      </c>
    </row>
    <row r="168">
      <c r="A168" t="inlineStr">
        <is>
          <t>B167</t>
        </is>
      </c>
      <c r="B168" t="inlineStr">
        <is>
          <t>VGS</t>
        </is>
      </c>
      <c r="C168" s="5" t="n">
        <v>44410</v>
      </c>
      <c r="D168" t="n">
        <v>14</v>
      </c>
      <c r="E168" t="n">
        <v>100.68</v>
      </c>
      <c r="F168" t="inlineStr">
        <is>
          <t>AUD</t>
        </is>
      </c>
      <c r="G168" t="n">
        <v>9.5</v>
      </c>
      <c r="H168" t="inlineStr">
        <is>
          <t>AUD</t>
        </is>
      </c>
    </row>
    <row r="169">
      <c r="A169" t="inlineStr">
        <is>
          <t>B168</t>
        </is>
      </c>
      <c r="B169" t="inlineStr">
        <is>
          <t>A200</t>
        </is>
      </c>
      <c r="C169" s="5" t="n">
        <v>44445</v>
      </c>
      <c r="D169" t="n">
        <v>9</v>
      </c>
      <c r="E169" t="n">
        <v>128.64</v>
      </c>
      <c r="F169" t="inlineStr">
        <is>
          <t>AUD</t>
        </is>
      </c>
      <c r="G169" t="n">
        <v>9.5</v>
      </c>
      <c r="H169" t="inlineStr">
        <is>
          <t>AUD</t>
        </is>
      </c>
    </row>
    <row r="170">
      <c r="A170" t="inlineStr">
        <is>
          <t>B169</t>
        </is>
      </c>
      <c r="B170" t="inlineStr">
        <is>
          <t>VGS</t>
        </is>
      </c>
      <c r="C170" s="5" t="n">
        <v>44445</v>
      </c>
      <c r="D170" t="n">
        <v>14</v>
      </c>
      <c r="E170" t="n">
        <v>102.2</v>
      </c>
      <c r="F170" t="inlineStr">
        <is>
          <t>AUD</t>
        </is>
      </c>
      <c r="G170" t="n">
        <v>9.5</v>
      </c>
      <c r="H170" t="inlineStr">
        <is>
          <t>AUD</t>
        </is>
      </c>
    </row>
    <row r="171">
      <c r="A171" t="inlineStr">
        <is>
          <t>B170</t>
        </is>
      </c>
      <c r="B171" t="inlineStr">
        <is>
          <t>A200</t>
        </is>
      </c>
      <c r="C171" s="5" t="n">
        <v>44474</v>
      </c>
      <c r="D171" t="n">
        <v>13</v>
      </c>
      <c r="E171" t="n">
        <v>122.28</v>
      </c>
      <c r="F171" t="inlineStr">
        <is>
          <t>AUD</t>
        </is>
      </c>
      <c r="G171" t="n">
        <v>9.5</v>
      </c>
      <c r="H171" t="inlineStr">
        <is>
          <t>AUD</t>
        </is>
      </c>
    </row>
    <row r="172">
      <c r="A172" t="inlineStr">
        <is>
          <t>B171</t>
        </is>
      </c>
      <c r="B172" t="inlineStr">
        <is>
          <t>MSFT</t>
        </is>
      </c>
      <c r="C172" s="5" t="n">
        <v>44474</v>
      </c>
      <c r="D172" t="n">
        <v>3</v>
      </c>
      <c r="E172" t="n">
        <v>288.76</v>
      </c>
      <c r="F172" t="inlineStr">
        <is>
          <t>USD</t>
        </is>
      </c>
      <c r="G172" t="n">
        <v>5</v>
      </c>
      <c r="H172" t="inlineStr">
        <is>
          <t>USD</t>
        </is>
      </c>
    </row>
    <row r="173">
      <c r="A173" t="inlineStr">
        <is>
          <t>B172</t>
        </is>
      </c>
      <c r="B173" t="inlineStr">
        <is>
          <t>VGS</t>
        </is>
      </c>
      <c r="C173" s="5" t="n">
        <v>44474</v>
      </c>
      <c r="D173" t="n">
        <v>20</v>
      </c>
      <c r="E173" t="n">
        <v>98.52</v>
      </c>
      <c r="F173" t="inlineStr">
        <is>
          <t>AUD</t>
        </is>
      </c>
      <c r="G173" t="n">
        <v>9.5</v>
      </c>
      <c r="H173" t="inlineStr">
        <is>
          <t>AUD</t>
        </is>
      </c>
    </row>
    <row r="174">
      <c r="A174" t="inlineStr">
        <is>
          <t>B173</t>
        </is>
      </c>
      <c r="B174" t="inlineStr">
        <is>
          <t>A200</t>
        </is>
      </c>
      <c r="C174" s="5" t="n">
        <v>44503</v>
      </c>
      <c r="D174" t="n">
        <v>6</v>
      </c>
      <c r="E174" t="n">
        <v>125.01</v>
      </c>
      <c r="F174" t="inlineStr">
        <is>
          <t>AUD</t>
        </is>
      </c>
      <c r="G174" t="n">
        <v>9.5</v>
      </c>
      <c r="H174" t="inlineStr">
        <is>
          <t>AUD</t>
        </is>
      </c>
    </row>
    <row r="175">
      <c r="A175" t="inlineStr">
        <is>
          <t>B174</t>
        </is>
      </c>
      <c r="B175" t="inlineStr">
        <is>
          <t>VGS</t>
        </is>
      </c>
      <c r="C175" s="5" t="n">
        <v>44503</v>
      </c>
      <c r="D175" t="n">
        <v>9</v>
      </c>
      <c r="E175" t="n">
        <v>102.76</v>
      </c>
      <c r="F175" t="inlineStr">
        <is>
          <t>AUD</t>
        </is>
      </c>
      <c r="G175" t="n">
        <v>9.5</v>
      </c>
      <c r="H175" t="inlineStr">
        <is>
          <t>AUD</t>
        </is>
      </c>
    </row>
    <row r="176">
      <c r="A176" t="inlineStr">
        <is>
          <t>B175</t>
        </is>
      </c>
      <c r="B176" t="inlineStr">
        <is>
          <t>AAPL</t>
        </is>
      </c>
      <c r="C176" s="5" t="n">
        <v>44526</v>
      </c>
      <c r="D176" t="n">
        <v>5</v>
      </c>
      <c r="E176" t="n">
        <v>156.81</v>
      </c>
      <c r="F176" t="inlineStr">
        <is>
          <t>USD</t>
        </is>
      </c>
      <c r="G176" t="n">
        <v>5</v>
      </c>
      <c r="H176" t="inlineStr">
        <is>
          <t>USD</t>
        </is>
      </c>
    </row>
    <row r="177">
      <c r="A177" t="inlineStr">
        <is>
          <t>B176</t>
        </is>
      </c>
      <c r="B177" t="inlineStr">
        <is>
          <t>A200</t>
        </is>
      </c>
      <c r="C177" s="5" t="n">
        <v>44536</v>
      </c>
      <c r="D177" t="n">
        <v>10</v>
      </c>
      <c r="E177" t="n">
        <v>123.14</v>
      </c>
      <c r="F177" t="inlineStr">
        <is>
          <t>AUD</t>
        </is>
      </c>
      <c r="G177" t="n">
        <v>9.5</v>
      </c>
      <c r="H177" t="inlineStr">
        <is>
          <t>AUD</t>
        </is>
      </c>
    </row>
    <row r="178">
      <c r="A178" t="inlineStr">
        <is>
          <t>B177</t>
        </is>
      </c>
      <c r="B178" t="inlineStr">
        <is>
          <t>VGS</t>
        </is>
      </c>
      <c r="C178" s="5" t="n">
        <v>44536</v>
      </c>
      <c r="D178" t="n">
        <v>14</v>
      </c>
      <c r="E178" t="n">
        <v>105.94</v>
      </c>
      <c r="F178" t="inlineStr">
        <is>
          <t>AUD</t>
        </is>
      </c>
      <c r="G178" t="n">
        <v>9.5</v>
      </c>
      <c r="H178" t="inlineStr">
        <is>
          <t>AUD</t>
        </is>
      </c>
    </row>
    <row r="179">
      <c r="A179" t="inlineStr">
        <is>
          <t>B178</t>
        </is>
      </c>
      <c r="B179" t="inlineStr">
        <is>
          <t>AAPL</t>
        </is>
      </c>
      <c r="C179" s="5" t="n">
        <v>44543</v>
      </c>
      <c r="D179" t="n">
        <v>4</v>
      </c>
      <c r="E179" t="n">
        <v>175.74</v>
      </c>
      <c r="F179" t="inlineStr">
        <is>
          <t>USD</t>
        </is>
      </c>
      <c r="G179" t="n">
        <v>5</v>
      </c>
      <c r="H179" t="inlineStr">
        <is>
          <t>USD</t>
        </is>
      </c>
    </row>
    <row r="180">
      <c r="A180" t="inlineStr">
        <is>
          <t>B179</t>
        </is>
      </c>
      <c r="B180" t="inlineStr">
        <is>
          <t>AAPL</t>
        </is>
      </c>
      <c r="C180" s="5" t="n">
        <v>44550</v>
      </c>
      <c r="D180" t="n">
        <v>3</v>
      </c>
      <c r="E180" t="n">
        <v>169.75</v>
      </c>
      <c r="F180" t="inlineStr">
        <is>
          <t>USD</t>
        </is>
      </c>
      <c r="G180" t="n">
        <v>5</v>
      </c>
      <c r="H180" t="inlineStr">
        <is>
          <t>USD</t>
        </is>
      </c>
    </row>
    <row r="181">
      <c r="A181" t="inlineStr">
        <is>
          <t>B180</t>
        </is>
      </c>
      <c r="B181" t="inlineStr">
        <is>
          <t>A200</t>
        </is>
      </c>
      <c r="C181" s="5" t="n">
        <v>44565</v>
      </c>
      <c r="D181" t="n">
        <v>9</v>
      </c>
      <c r="E181" t="n">
        <v>128.37</v>
      </c>
      <c r="F181" t="inlineStr">
        <is>
          <t>AUD</t>
        </is>
      </c>
      <c r="G181" t="n">
        <v>9.5</v>
      </c>
      <c r="H181" t="inlineStr">
        <is>
          <t>AUD</t>
        </is>
      </c>
    </row>
    <row r="182">
      <c r="A182" t="inlineStr">
        <is>
          <t>B181</t>
        </is>
      </c>
      <c r="B182" t="inlineStr">
        <is>
          <t>VGS</t>
        </is>
      </c>
      <c r="C182" s="5" t="n">
        <v>44565</v>
      </c>
      <c r="D182" t="n">
        <v>14</v>
      </c>
      <c r="E182" t="n">
        <v>107.94</v>
      </c>
      <c r="F182" t="inlineStr">
        <is>
          <t>AUD</t>
        </is>
      </c>
      <c r="G182" t="n">
        <v>9.5</v>
      </c>
      <c r="H182" t="inlineStr">
        <is>
          <t>AUD</t>
        </is>
      </c>
    </row>
    <row r="183">
      <c r="A183" t="inlineStr">
        <is>
          <t>B182</t>
        </is>
      </c>
      <c r="B183" t="inlineStr">
        <is>
          <t>MSFT</t>
        </is>
      </c>
      <c r="C183" s="5" t="n">
        <v>44588</v>
      </c>
      <c r="D183" t="n">
        <v>2</v>
      </c>
      <c r="E183" t="n">
        <v>299.84</v>
      </c>
      <c r="F183" t="inlineStr">
        <is>
          <t>USD</t>
        </is>
      </c>
      <c r="G183" t="n">
        <v>5</v>
      </c>
      <c r="H183" t="inlineStr">
        <is>
          <t>USD</t>
        </is>
      </c>
    </row>
    <row r="184">
      <c r="A184" t="inlineStr">
        <is>
          <t>B183</t>
        </is>
      </c>
      <c r="B184" t="inlineStr">
        <is>
          <t>AAPL</t>
        </is>
      </c>
      <c r="C184" s="5" t="n">
        <v>44596</v>
      </c>
      <c r="D184" t="n">
        <v>2</v>
      </c>
      <c r="E184" t="n">
        <v>172.39</v>
      </c>
      <c r="F184" t="inlineStr">
        <is>
          <t>USD</t>
        </is>
      </c>
      <c r="G184" t="n">
        <v>5</v>
      </c>
      <c r="H184" t="inlineStr">
        <is>
          <t>USD</t>
        </is>
      </c>
    </row>
    <row r="185">
      <c r="A185" t="inlineStr">
        <is>
          <t>B184</t>
        </is>
      </c>
      <c r="B185" t="inlineStr">
        <is>
          <t>A200</t>
        </is>
      </c>
      <c r="C185" s="5" t="n">
        <v>44599</v>
      </c>
      <c r="D185" t="n">
        <v>5</v>
      </c>
      <c r="E185" t="n">
        <v>120.45</v>
      </c>
      <c r="F185" t="inlineStr">
        <is>
          <t>AUD</t>
        </is>
      </c>
      <c r="G185" t="n">
        <v>9.5</v>
      </c>
      <c r="H185" t="inlineStr">
        <is>
          <t>AUD</t>
        </is>
      </c>
    </row>
    <row r="186">
      <c r="A186" t="inlineStr">
        <is>
          <t>B185</t>
        </is>
      </c>
      <c r="B186" t="inlineStr">
        <is>
          <t>VGS</t>
        </is>
      </c>
      <c r="C186" s="5" t="n">
        <v>44599</v>
      </c>
      <c r="D186" t="n">
        <v>8</v>
      </c>
      <c r="E186" t="n">
        <v>103.43</v>
      </c>
      <c r="F186" t="inlineStr">
        <is>
          <t>AUD</t>
        </is>
      </c>
      <c r="G186" t="n">
        <v>9.5</v>
      </c>
      <c r="H186" t="inlineStr">
        <is>
          <t>AUD</t>
        </is>
      </c>
    </row>
    <row r="187">
      <c r="A187" t="inlineStr">
        <is>
          <t>B186</t>
        </is>
      </c>
      <c r="B187" t="inlineStr">
        <is>
          <t>BHP</t>
        </is>
      </c>
      <c r="C187" s="5" t="n">
        <v>44607</v>
      </c>
      <c r="D187" t="n">
        <v>26</v>
      </c>
      <c r="E187" t="n">
        <v>42.8998</v>
      </c>
      <c r="F187" t="inlineStr">
        <is>
          <t>AUD</t>
        </is>
      </c>
      <c r="G187" t="n">
        <v>19.95</v>
      </c>
      <c r="H187" t="inlineStr">
        <is>
          <t>AUD</t>
        </is>
      </c>
    </row>
    <row r="188">
      <c r="A188" t="inlineStr">
        <is>
          <t>B187</t>
        </is>
      </c>
      <c r="B188" t="inlineStr">
        <is>
          <t>A200</t>
        </is>
      </c>
      <c r="C188" s="5" t="n">
        <v>44623</v>
      </c>
      <c r="D188" t="n">
        <v>5</v>
      </c>
      <c r="E188" t="n">
        <v>122.61</v>
      </c>
      <c r="F188" t="inlineStr">
        <is>
          <t>AUD</t>
        </is>
      </c>
      <c r="G188" t="n">
        <v>9.5</v>
      </c>
      <c r="H188" t="inlineStr">
        <is>
          <t>AUD</t>
        </is>
      </c>
    </row>
    <row r="189">
      <c r="A189" t="inlineStr">
        <is>
          <t>B188</t>
        </is>
      </c>
      <c r="B189" t="inlineStr">
        <is>
          <t>VGS</t>
        </is>
      </c>
      <c r="C189" s="5" t="n">
        <v>44623</v>
      </c>
      <c r="D189" t="n">
        <v>9</v>
      </c>
      <c r="E189" t="n">
        <v>97.41</v>
      </c>
      <c r="F189" t="inlineStr">
        <is>
          <t>AUD</t>
        </is>
      </c>
      <c r="G189" t="n">
        <v>9.5</v>
      </c>
      <c r="H189" t="inlineStr">
        <is>
          <t>AUD</t>
        </is>
      </c>
    </row>
    <row r="190">
      <c r="A190" t="inlineStr">
        <is>
          <t>B189</t>
        </is>
      </c>
      <c r="B190" t="inlineStr">
        <is>
          <t>AMZN</t>
        </is>
      </c>
      <c r="C190" s="5" t="n">
        <v>44627</v>
      </c>
      <c r="D190" t="n">
        <v>1</v>
      </c>
      <c r="E190" t="n">
        <v>2749.0601</v>
      </c>
      <c r="F190" t="inlineStr">
        <is>
          <t>USD</t>
        </is>
      </c>
      <c r="G190" t="n">
        <v>5</v>
      </c>
      <c r="H190" t="inlineStr">
        <is>
          <t>USD</t>
        </is>
      </c>
    </row>
    <row r="191">
      <c r="A191" t="inlineStr">
        <is>
          <t>B190</t>
        </is>
      </c>
      <c r="B191" t="inlineStr">
        <is>
          <t>A200</t>
        </is>
      </c>
      <c r="C191" s="5" t="n">
        <v>44655</v>
      </c>
      <c r="D191" t="n">
        <v>9</v>
      </c>
      <c r="E191" t="n">
        <v>127.85</v>
      </c>
      <c r="F191" t="inlineStr">
        <is>
          <t>AUD</t>
        </is>
      </c>
      <c r="G191" t="n">
        <v>9.5</v>
      </c>
      <c r="H191" t="inlineStr">
        <is>
          <t>AUD</t>
        </is>
      </c>
    </row>
    <row r="192">
      <c r="A192" t="inlineStr">
        <is>
          <t>B191</t>
        </is>
      </c>
      <c r="B192" t="inlineStr">
        <is>
          <t>AAPL</t>
        </is>
      </c>
      <c r="C192" s="5" t="n">
        <v>44655</v>
      </c>
      <c r="D192" t="n">
        <v>4</v>
      </c>
      <c r="E192" t="n">
        <v>178.44</v>
      </c>
      <c r="F192" t="inlineStr">
        <is>
          <t>USD</t>
        </is>
      </c>
      <c r="G192" t="n">
        <v>5</v>
      </c>
      <c r="H192" t="inlineStr">
        <is>
          <t>USD</t>
        </is>
      </c>
    </row>
    <row r="193">
      <c r="A193" t="inlineStr">
        <is>
          <t>B192</t>
        </is>
      </c>
      <c r="B193" t="inlineStr">
        <is>
          <t>VGS</t>
        </is>
      </c>
      <c r="C193" s="5" t="n">
        <v>44655</v>
      </c>
      <c r="D193" t="n">
        <v>14</v>
      </c>
      <c r="E193" t="n">
        <v>97.23</v>
      </c>
      <c r="F193" t="inlineStr">
        <is>
          <t>AUD</t>
        </is>
      </c>
      <c r="G193" t="n">
        <v>9.5</v>
      </c>
      <c r="H193" t="inlineStr">
        <is>
          <t>AUD</t>
        </is>
      </c>
    </row>
    <row r="194">
      <c r="A194" t="inlineStr">
        <is>
          <t>B193</t>
        </is>
      </c>
      <c r="B194" t="inlineStr">
        <is>
          <t>A200</t>
        </is>
      </c>
      <c r="C194" s="5" t="n">
        <v>44684</v>
      </c>
      <c r="D194" t="n">
        <v>9</v>
      </c>
      <c r="E194" t="n">
        <v>124.85</v>
      </c>
      <c r="F194" t="inlineStr">
        <is>
          <t>AUD</t>
        </is>
      </c>
      <c r="G194" t="n">
        <v>9.5</v>
      </c>
      <c r="H194" t="inlineStr">
        <is>
          <t>AUD</t>
        </is>
      </c>
    </row>
    <row r="195">
      <c r="A195" t="inlineStr">
        <is>
          <t>B194</t>
        </is>
      </c>
      <c r="B195" t="inlineStr">
        <is>
          <t>VGS</t>
        </is>
      </c>
      <c r="C195" s="5" t="n">
        <v>44684</v>
      </c>
      <c r="D195" t="n">
        <v>15</v>
      </c>
      <c r="E195" t="n">
        <v>93.89</v>
      </c>
      <c r="F195" t="inlineStr">
        <is>
          <t>AUD</t>
        </is>
      </c>
      <c r="G195" t="n">
        <v>9.5</v>
      </c>
      <c r="H195" t="inlineStr">
        <is>
          <t>AUD</t>
        </is>
      </c>
    </row>
    <row r="196">
      <c r="A196" t="inlineStr">
        <is>
          <t>B195</t>
        </is>
      </c>
      <c r="B196" t="inlineStr">
        <is>
          <t>A200</t>
        </is>
      </c>
      <c r="C196" s="5" t="n">
        <v>44714</v>
      </c>
      <c r="D196" t="n">
        <v>6</v>
      </c>
      <c r="E196" t="n">
        <v>122.85</v>
      </c>
      <c r="F196" t="inlineStr">
        <is>
          <t>AUD</t>
        </is>
      </c>
      <c r="G196" t="n">
        <v>9.5</v>
      </c>
      <c r="H196" t="inlineStr">
        <is>
          <t>AUD</t>
        </is>
      </c>
    </row>
    <row r="197">
      <c r="A197" t="inlineStr">
        <is>
          <t>B196</t>
        </is>
      </c>
      <c r="B197" t="inlineStr">
        <is>
          <t>VGS</t>
        </is>
      </c>
      <c r="C197" s="5" t="n">
        <v>44714</v>
      </c>
      <c r="D197" t="n">
        <v>10</v>
      </c>
      <c r="E197" t="n">
        <v>92.56</v>
      </c>
      <c r="F197" t="inlineStr">
        <is>
          <t>AUD</t>
        </is>
      </c>
      <c r="G197" t="n">
        <v>9.5</v>
      </c>
      <c r="H197" t="inlineStr">
        <is>
          <t>AUD</t>
        </is>
      </c>
    </row>
    <row r="198">
      <c r="A198" t="inlineStr">
        <is>
          <t>B197</t>
        </is>
      </c>
      <c r="B198" t="inlineStr">
        <is>
          <t>AAPL</t>
        </is>
      </c>
      <c r="C198" s="5" t="n">
        <v>44735</v>
      </c>
      <c r="D198" t="n">
        <v>3</v>
      </c>
      <c r="E198" t="n">
        <v>138.27</v>
      </c>
      <c r="F198" t="inlineStr">
        <is>
          <t>USD</t>
        </is>
      </c>
      <c r="G198" t="n">
        <v>5</v>
      </c>
      <c r="H198" t="inlineStr">
        <is>
          <t>USD</t>
        </is>
      </c>
    </row>
    <row r="199">
      <c r="A199" t="inlineStr">
        <is>
          <t>B198</t>
        </is>
      </c>
      <c r="B199" t="inlineStr">
        <is>
          <t>A200</t>
        </is>
      </c>
      <c r="C199" s="5" t="n">
        <v>44748</v>
      </c>
      <c r="D199" t="n">
        <v>13</v>
      </c>
      <c r="E199" t="n">
        <v>109.69</v>
      </c>
      <c r="F199" t="inlineStr">
        <is>
          <t>AUD</t>
        </is>
      </c>
      <c r="G199" t="n">
        <v>9.5</v>
      </c>
      <c r="H199" t="inlineStr">
        <is>
          <t>AUD</t>
        </is>
      </c>
    </row>
    <row r="200">
      <c r="A200" t="inlineStr">
        <is>
          <t>B199</t>
        </is>
      </c>
      <c r="B200" t="inlineStr">
        <is>
          <t>VGS</t>
        </is>
      </c>
      <c r="C200" s="5" t="n">
        <v>44748</v>
      </c>
      <c r="D200" t="n">
        <v>20</v>
      </c>
      <c r="E200" t="n">
        <v>89.43000000000001</v>
      </c>
      <c r="F200" t="inlineStr">
        <is>
          <t>AUD</t>
        </is>
      </c>
      <c r="G200" t="n">
        <v>9.5</v>
      </c>
      <c r="H200" t="inlineStr">
        <is>
          <t>AUD</t>
        </is>
      </c>
    </row>
    <row r="201">
      <c r="A201" t="inlineStr">
        <is>
          <t>B200</t>
        </is>
      </c>
      <c r="B201" t="inlineStr">
        <is>
          <t>MSFT</t>
        </is>
      </c>
      <c r="C201" s="5" t="n">
        <v>44767</v>
      </c>
      <c r="D201" t="n">
        <v>3</v>
      </c>
      <c r="E201" t="n">
        <v>258.83</v>
      </c>
      <c r="F201" t="inlineStr">
        <is>
          <t>USD</t>
        </is>
      </c>
      <c r="G201" t="n">
        <v>5</v>
      </c>
      <c r="H201" t="inlineStr">
        <is>
          <t>USD</t>
        </is>
      </c>
    </row>
    <row r="202">
      <c r="A202" t="inlineStr">
        <is>
          <t>B201</t>
        </is>
      </c>
      <c r="B202" t="inlineStr">
        <is>
          <t>AAPL</t>
        </is>
      </c>
      <c r="C202" s="5" t="n">
        <v>44770</v>
      </c>
      <c r="D202" t="n">
        <v>3</v>
      </c>
      <c r="E202" t="n">
        <v>157.35</v>
      </c>
      <c r="F202" t="inlineStr">
        <is>
          <t>USD</t>
        </is>
      </c>
      <c r="G202" t="n">
        <v>5</v>
      </c>
      <c r="H202" t="inlineStr">
        <is>
          <t>USD</t>
        </is>
      </c>
    </row>
    <row r="203">
      <c r="A203" t="inlineStr">
        <is>
          <t>B202</t>
        </is>
      </c>
      <c r="B203" t="inlineStr">
        <is>
          <t>A200</t>
        </is>
      </c>
      <c r="C203" s="5" t="n">
        <v>44776</v>
      </c>
      <c r="D203" t="n">
        <v>9</v>
      </c>
      <c r="E203" t="n">
        <v>115.78</v>
      </c>
      <c r="F203" t="inlineStr">
        <is>
          <t>AUD</t>
        </is>
      </c>
      <c r="G203" t="n">
        <v>9.5</v>
      </c>
      <c r="H203" t="inlineStr">
        <is>
          <t>AUD</t>
        </is>
      </c>
    </row>
    <row r="204">
      <c r="A204" t="inlineStr">
        <is>
          <t>B203</t>
        </is>
      </c>
      <c r="B204" t="inlineStr">
        <is>
          <t>VGS</t>
        </is>
      </c>
      <c r="C204" s="5" t="n">
        <v>44776</v>
      </c>
      <c r="D204" t="n">
        <v>13</v>
      </c>
      <c r="E204" t="n">
        <v>93.98</v>
      </c>
      <c r="F204" t="inlineStr">
        <is>
          <t>AUD</t>
        </is>
      </c>
      <c r="G204" t="n">
        <v>9.5</v>
      </c>
      <c r="H204" t="inlineStr">
        <is>
          <t>AUD</t>
        </is>
      </c>
    </row>
    <row r="205">
      <c r="A205" t="inlineStr">
        <is>
          <t>B204</t>
        </is>
      </c>
      <c r="B205" t="inlineStr">
        <is>
          <t>A200</t>
        </is>
      </c>
      <c r="C205" s="5" t="n">
        <v>44809</v>
      </c>
      <c r="D205" t="n">
        <v>13</v>
      </c>
      <c r="E205" t="n">
        <v>115.35</v>
      </c>
      <c r="F205" t="inlineStr">
        <is>
          <t>AUD</t>
        </is>
      </c>
      <c r="G205" t="n">
        <v>9.5</v>
      </c>
      <c r="H205" t="inlineStr">
        <is>
          <t>AUD</t>
        </is>
      </c>
    </row>
    <row r="206">
      <c r="A206" t="inlineStr">
        <is>
          <t>B205</t>
        </is>
      </c>
      <c r="B206" t="inlineStr">
        <is>
          <t>VGS</t>
        </is>
      </c>
      <c r="C206" s="5" t="n">
        <v>44809</v>
      </c>
      <c r="D206" t="n">
        <v>20</v>
      </c>
      <c r="E206" t="n">
        <v>91.06</v>
      </c>
      <c r="F206" t="inlineStr">
        <is>
          <t>AUD</t>
        </is>
      </c>
      <c r="G206" t="n">
        <v>9.5</v>
      </c>
      <c r="H206" t="inlineStr">
        <is>
          <t>AUD</t>
        </is>
      </c>
    </row>
    <row r="207">
      <c r="A207" t="inlineStr">
        <is>
          <t>B206</t>
        </is>
      </c>
      <c r="B207" t="inlineStr">
        <is>
          <t>AMZN</t>
        </is>
      </c>
      <c r="C207" s="5" t="n">
        <v>44810</v>
      </c>
      <c r="D207" t="n">
        <v>3</v>
      </c>
      <c r="E207" t="n">
        <v>126.11</v>
      </c>
      <c r="F207" t="inlineStr">
        <is>
          <t>USD</t>
        </is>
      </c>
      <c r="G207" t="n">
        <v>5</v>
      </c>
      <c r="H207" t="inlineStr">
        <is>
          <t>USD</t>
        </is>
      </c>
    </row>
    <row r="208">
      <c r="A208" t="inlineStr">
        <is>
          <t>B207</t>
        </is>
      </c>
      <c r="B208" t="inlineStr">
        <is>
          <t>AMZN</t>
        </is>
      </c>
      <c r="C208" s="5" t="n">
        <v>44823</v>
      </c>
      <c r="D208" t="n">
        <v>4</v>
      </c>
      <c r="E208" t="n">
        <v>124.66</v>
      </c>
      <c r="F208" t="inlineStr">
        <is>
          <t>USD</t>
        </is>
      </c>
      <c r="G208" t="n">
        <v>5</v>
      </c>
      <c r="H208" t="inlineStr">
        <is>
          <t>USD</t>
        </is>
      </c>
    </row>
    <row r="209">
      <c r="A209" t="inlineStr">
        <is>
          <t>B208</t>
        </is>
      </c>
      <c r="B209" t="inlineStr">
        <is>
          <t>A200</t>
        </is>
      </c>
      <c r="C209" s="5" t="n">
        <v>44837</v>
      </c>
      <c r="D209" t="n">
        <v>9</v>
      </c>
      <c r="E209" t="n">
        <v>107.32</v>
      </c>
      <c r="F209" t="inlineStr">
        <is>
          <t>AUD</t>
        </is>
      </c>
      <c r="G209" t="n">
        <v>9.5</v>
      </c>
      <c r="H209" t="inlineStr">
        <is>
          <t>AUD</t>
        </is>
      </c>
    </row>
    <row r="210">
      <c r="A210" t="inlineStr">
        <is>
          <t>B209</t>
        </is>
      </c>
      <c r="B210" t="inlineStr">
        <is>
          <t>VGS</t>
        </is>
      </c>
      <c r="C210" s="5" t="n">
        <v>44837</v>
      </c>
      <c r="D210" t="n">
        <v>13</v>
      </c>
      <c r="E210" t="n">
        <v>87.88</v>
      </c>
      <c r="F210" t="inlineStr">
        <is>
          <t>AUD</t>
        </is>
      </c>
      <c r="G210" t="n">
        <v>9.5</v>
      </c>
      <c r="H210" t="inlineStr">
        <is>
          <t>AUD</t>
        </is>
      </c>
    </row>
    <row r="211">
      <c r="A211" t="inlineStr">
        <is>
          <t>B210</t>
        </is>
      </c>
      <c r="B211" t="inlineStr">
        <is>
          <t>MSFT</t>
        </is>
      </c>
      <c r="C211" s="5" t="n">
        <v>44859</v>
      </c>
      <c r="D211" t="n">
        <v>2</v>
      </c>
      <c r="E211" t="n">
        <v>250.66</v>
      </c>
      <c r="F211" t="inlineStr">
        <is>
          <t>USD</t>
        </is>
      </c>
      <c r="G211" t="n">
        <v>5</v>
      </c>
      <c r="H211" t="inlineStr">
        <is>
          <t>USD</t>
        </is>
      </c>
    </row>
    <row r="212">
      <c r="A212" t="inlineStr">
        <is>
          <t>B211</t>
        </is>
      </c>
      <c r="B212" t="inlineStr">
        <is>
          <t>A200</t>
        </is>
      </c>
      <c r="C212" s="5" t="n">
        <v>44872</v>
      </c>
      <c r="D212" t="n">
        <v>15</v>
      </c>
      <c r="E212" t="n">
        <v>115.49</v>
      </c>
      <c r="F212" t="inlineStr">
        <is>
          <t>AUD</t>
        </is>
      </c>
      <c r="G212" t="n">
        <v>9.5</v>
      </c>
      <c r="H212" t="inlineStr">
        <is>
          <t>AUD</t>
        </is>
      </c>
    </row>
    <row r="213">
      <c r="A213" t="inlineStr">
        <is>
          <t>B212</t>
        </is>
      </c>
      <c r="B213" t="inlineStr">
        <is>
          <t>VGS</t>
        </is>
      </c>
      <c r="C213" s="5" t="n">
        <v>44872</v>
      </c>
      <c r="D213" t="n">
        <v>23</v>
      </c>
      <c r="E213" t="n">
        <v>92.98</v>
      </c>
      <c r="F213" t="inlineStr">
        <is>
          <t>AUD</t>
        </is>
      </c>
      <c r="G213" t="n">
        <v>9.5</v>
      </c>
      <c r="H213" t="inlineStr">
        <is>
          <t>AUD</t>
        </is>
      </c>
    </row>
    <row r="214">
      <c r="A214" t="inlineStr">
        <is>
          <t>B213</t>
        </is>
      </c>
      <c r="B214" t="inlineStr">
        <is>
          <t>A200</t>
        </is>
      </c>
      <c r="C214" s="5" t="n">
        <v>44900</v>
      </c>
      <c r="D214" t="n">
        <v>9</v>
      </c>
      <c r="E214" t="n">
        <v>122.27</v>
      </c>
      <c r="F214" t="inlineStr">
        <is>
          <t>AUD</t>
        </is>
      </c>
      <c r="G214" t="n">
        <v>9.5</v>
      </c>
      <c r="H214" t="inlineStr">
        <is>
          <t>AUD</t>
        </is>
      </c>
    </row>
    <row r="215">
      <c r="A215" t="inlineStr">
        <is>
          <t>B214</t>
        </is>
      </c>
      <c r="B215" t="inlineStr">
        <is>
          <t>VGS</t>
        </is>
      </c>
      <c r="C215" s="5" t="n">
        <v>44900</v>
      </c>
      <c r="D215" t="n">
        <v>14</v>
      </c>
      <c r="E215" t="n">
        <v>95.47</v>
      </c>
      <c r="F215" t="inlineStr">
        <is>
          <t>AUD</t>
        </is>
      </c>
      <c r="G215" t="n">
        <v>9.5</v>
      </c>
      <c r="H215" t="inlineStr">
        <is>
          <t>AUD</t>
        </is>
      </c>
    </row>
    <row r="216">
      <c r="A216" t="inlineStr">
        <is>
          <t>B215</t>
        </is>
      </c>
      <c r="B216" t="inlineStr">
        <is>
          <t>A200</t>
        </is>
      </c>
      <c r="C216" s="5" t="n">
        <v>44931</v>
      </c>
      <c r="D216" t="n">
        <v>9</v>
      </c>
      <c r="E216" t="n">
        <v>116.98</v>
      </c>
      <c r="F216" t="inlineStr">
        <is>
          <t>AUD</t>
        </is>
      </c>
      <c r="G216" t="n">
        <v>9.5</v>
      </c>
      <c r="H216" t="inlineStr">
        <is>
          <t>AUD</t>
        </is>
      </c>
    </row>
    <row r="217">
      <c r="A217" t="inlineStr">
        <is>
          <t>B216</t>
        </is>
      </c>
      <c r="B217" t="inlineStr">
        <is>
          <t>VGS</t>
        </is>
      </c>
      <c r="C217" s="5" t="n">
        <v>44931</v>
      </c>
      <c r="D217" t="n">
        <v>15</v>
      </c>
      <c r="E217" t="n">
        <v>91.56</v>
      </c>
      <c r="F217" t="inlineStr">
        <is>
          <t>AUD</t>
        </is>
      </c>
      <c r="G217" t="n">
        <v>9.5</v>
      </c>
      <c r="H217" t="inlineStr">
        <is>
          <t>AUD</t>
        </is>
      </c>
    </row>
    <row r="218">
      <c r="A218" t="inlineStr">
        <is>
          <t>B217</t>
        </is>
      </c>
      <c r="B218" t="inlineStr">
        <is>
          <t>A200</t>
        </is>
      </c>
      <c r="C218" s="5" t="n">
        <v>44963</v>
      </c>
      <c r="D218" t="n">
        <v>12</v>
      </c>
      <c r="E218" t="n">
        <v>124.9</v>
      </c>
      <c r="F218" t="inlineStr">
        <is>
          <t>AUD</t>
        </is>
      </c>
      <c r="G218" t="n">
        <v>9.5</v>
      </c>
      <c r="H218" t="inlineStr">
        <is>
          <t>AUD</t>
        </is>
      </c>
    </row>
    <row r="219">
      <c r="A219" t="inlineStr">
        <is>
          <t>B218</t>
        </is>
      </c>
      <c r="B219" t="inlineStr">
        <is>
          <t>VGS</t>
        </is>
      </c>
      <c r="C219" s="5" t="n">
        <v>44963</v>
      </c>
      <c r="D219" t="n">
        <v>19</v>
      </c>
      <c r="E219" t="n">
        <v>96.29000000000001</v>
      </c>
      <c r="F219" t="inlineStr">
        <is>
          <t>AUD</t>
        </is>
      </c>
      <c r="G219" t="n">
        <v>9.5</v>
      </c>
      <c r="H219" t="inlineStr">
        <is>
          <t>AUD</t>
        </is>
      </c>
    </row>
    <row r="220">
      <c r="A220" t="inlineStr">
        <is>
          <t>B219</t>
        </is>
      </c>
      <c r="B220" t="inlineStr">
        <is>
          <t>AMZN</t>
        </is>
      </c>
      <c r="C220" s="5" t="n">
        <v>44973</v>
      </c>
      <c r="D220" t="n">
        <v>3</v>
      </c>
      <c r="E220" t="n">
        <v>98.15000000000001</v>
      </c>
      <c r="F220" t="inlineStr">
        <is>
          <t>USD</t>
        </is>
      </c>
      <c r="G220" t="n">
        <v>5</v>
      </c>
      <c r="H220" t="inlineStr">
        <is>
          <t>USD</t>
        </is>
      </c>
    </row>
    <row r="221">
      <c r="A221" t="inlineStr">
        <is>
          <t>B220</t>
        </is>
      </c>
      <c r="B221" t="inlineStr">
        <is>
          <t>MSFT</t>
        </is>
      </c>
      <c r="C221" s="5" t="n">
        <v>44984</v>
      </c>
      <c r="D221" t="n">
        <v>1</v>
      </c>
      <c r="E221" t="n">
        <v>250.16</v>
      </c>
      <c r="F221" t="inlineStr">
        <is>
          <t>USD</t>
        </is>
      </c>
      <c r="G221" t="n">
        <v>5</v>
      </c>
      <c r="H221" t="inlineStr">
        <is>
          <t>USD</t>
        </is>
      </c>
    </row>
    <row r="222">
      <c r="A222" t="inlineStr">
        <is>
          <t>B221</t>
        </is>
      </c>
      <c r="B222" t="inlineStr">
        <is>
          <t>A200</t>
        </is>
      </c>
      <c r="C222" s="5" t="n">
        <v>44988</v>
      </c>
      <c r="D222" t="n">
        <v>7</v>
      </c>
      <c r="E222" t="n">
        <v>121.3</v>
      </c>
      <c r="F222" t="inlineStr">
        <is>
          <t>AUD</t>
        </is>
      </c>
      <c r="G222" t="n">
        <v>9.5</v>
      </c>
      <c r="H222" t="inlineStr">
        <is>
          <t>AUD</t>
        </is>
      </c>
    </row>
    <row r="223">
      <c r="A223" t="inlineStr">
        <is>
          <t>B222</t>
        </is>
      </c>
      <c r="B223" t="inlineStr">
        <is>
          <t>VGS</t>
        </is>
      </c>
      <c r="C223" s="5" t="n">
        <v>44988</v>
      </c>
      <c r="D223" t="n">
        <v>12</v>
      </c>
      <c r="E223" t="n">
        <v>96.29000000000001</v>
      </c>
      <c r="F223" t="inlineStr">
        <is>
          <t>AUD</t>
        </is>
      </c>
      <c r="G223" t="n">
        <v>9.5</v>
      </c>
      <c r="H223" t="inlineStr">
        <is>
          <t>AUD</t>
        </is>
      </c>
    </row>
    <row r="224">
      <c r="A224" t="inlineStr">
        <is>
          <t>B223</t>
        </is>
      </c>
      <c r="B224" t="inlineStr">
        <is>
          <t>MSFT</t>
        </is>
      </c>
      <c r="C224" s="5" t="n">
        <v>45012</v>
      </c>
      <c r="D224" t="n">
        <v>2</v>
      </c>
      <c r="E224" t="n">
        <v>276.38</v>
      </c>
      <c r="F224" t="inlineStr">
        <is>
          <t>USD</t>
        </is>
      </c>
      <c r="G224" t="n">
        <v>5</v>
      </c>
      <c r="H224" t="inlineStr">
        <is>
          <t>USD</t>
        </is>
      </c>
    </row>
    <row r="225">
      <c r="A225" t="inlineStr">
        <is>
          <t>B224</t>
        </is>
      </c>
      <c r="B225" t="inlineStr">
        <is>
          <t>A200</t>
        </is>
      </c>
      <c r="C225" s="5" t="n">
        <v>45021</v>
      </c>
      <c r="D225" t="n">
        <v>10</v>
      </c>
      <c r="E225" t="n">
        <v>120.36</v>
      </c>
      <c r="F225" t="inlineStr">
        <is>
          <t>AUD</t>
        </is>
      </c>
      <c r="G225" t="n">
        <v>9.5</v>
      </c>
      <c r="H225" t="inlineStr">
        <is>
          <t>AUD</t>
        </is>
      </c>
    </row>
    <row r="226">
      <c r="A226" t="inlineStr">
        <is>
          <t>B225</t>
        </is>
      </c>
      <c r="B226" t="inlineStr">
        <is>
          <t>VGS</t>
        </is>
      </c>
      <c r="C226" s="5" t="n">
        <v>45021</v>
      </c>
      <c r="D226" t="n">
        <v>16</v>
      </c>
      <c r="E226" t="n">
        <v>99.01000000000001</v>
      </c>
      <c r="F226" t="inlineStr">
        <is>
          <t>AUD</t>
        </is>
      </c>
      <c r="G226" t="n">
        <v>9.5</v>
      </c>
      <c r="H226" t="inlineStr">
        <is>
          <t>AUD</t>
        </is>
      </c>
    </row>
    <row r="227">
      <c r="A227" t="inlineStr">
        <is>
          <t>B226</t>
        </is>
      </c>
      <c r="B227" t="inlineStr">
        <is>
          <t>A200</t>
        </is>
      </c>
      <c r="C227" s="5" t="n">
        <v>45049</v>
      </c>
      <c r="D227" t="n">
        <v>13</v>
      </c>
      <c r="E227" t="n">
        <v>119.66</v>
      </c>
      <c r="F227" t="inlineStr">
        <is>
          <t>AUD</t>
        </is>
      </c>
      <c r="G227" t="n">
        <v>9.5</v>
      </c>
      <c r="H227" t="inlineStr">
        <is>
          <t>AUD</t>
        </is>
      </c>
    </row>
    <row r="228">
      <c r="A228" t="inlineStr">
        <is>
          <t>B227</t>
        </is>
      </c>
      <c r="B228" t="inlineStr">
        <is>
          <t>VGS</t>
        </is>
      </c>
      <c r="C228" s="5" t="n">
        <v>45049</v>
      </c>
      <c r="D228" t="n">
        <v>19</v>
      </c>
      <c r="E228" t="n">
        <v>100.96</v>
      </c>
      <c r="F228" t="inlineStr">
        <is>
          <t>AUD</t>
        </is>
      </c>
      <c r="G228" t="n">
        <v>9.5</v>
      </c>
      <c r="H228" t="inlineStr">
        <is>
          <t>AUD</t>
        </is>
      </c>
    </row>
    <row r="229">
      <c r="A229" t="inlineStr">
        <is>
          <t>B228</t>
        </is>
      </c>
      <c r="B229" t="inlineStr">
        <is>
          <t>CBA</t>
        </is>
      </c>
      <c r="C229" s="5" t="n">
        <v>45054</v>
      </c>
      <c r="D229" t="n">
        <v>7</v>
      </c>
      <c r="E229" t="n">
        <v>97.12</v>
      </c>
      <c r="F229" t="inlineStr">
        <is>
          <t>AUD</t>
        </is>
      </c>
      <c r="G229" t="n">
        <v>19.95</v>
      </c>
      <c r="H229" t="inlineStr">
        <is>
          <t>AUD</t>
        </is>
      </c>
    </row>
    <row r="230">
      <c r="A230" t="inlineStr">
        <is>
          <t>B229</t>
        </is>
      </c>
      <c r="B230" t="inlineStr">
        <is>
          <t>A200</t>
        </is>
      </c>
      <c r="C230" s="5" t="n">
        <v>45082</v>
      </c>
      <c r="D230" t="n">
        <v>8</v>
      </c>
      <c r="E230" t="n">
        <v>120.52</v>
      </c>
      <c r="F230" t="inlineStr">
        <is>
          <t>AUD</t>
        </is>
      </c>
      <c r="G230" t="n">
        <v>9.5</v>
      </c>
      <c r="H230" t="inlineStr">
        <is>
          <t>AUD</t>
        </is>
      </c>
    </row>
    <row r="231">
      <c r="A231" t="inlineStr">
        <is>
          <t>B230</t>
        </is>
      </c>
      <c r="B231" t="inlineStr">
        <is>
          <t>VGS</t>
        </is>
      </c>
      <c r="C231" s="5" t="n">
        <v>45082</v>
      </c>
      <c r="D231" t="n">
        <v>12</v>
      </c>
      <c r="E231" t="n">
        <v>104.45</v>
      </c>
      <c r="F231" t="inlineStr">
        <is>
          <t>AUD</t>
        </is>
      </c>
      <c r="G231" t="n">
        <v>9.5</v>
      </c>
      <c r="H231" t="inlineStr">
        <is>
          <t>AUD</t>
        </is>
      </c>
    </row>
    <row r="232">
      <c r="A232" t="inlineStr">
        <is>
          <t>B231</t>
        </is>
      </c>
      <c r="B232" t="inlineStr">
        <is>
          <t>AMZN</t>
        </is>
      </c>
      <c r="C232" s="5" t="n">
        <v>45107</v>
      </c>
      <c r="D232" t="n">
        <v>7</v>
      </c>
      <c r="E232" t="n">
        <v>130.36</v>
      </c>
      <c r="F232" t="inlineStr">
        <is>
          <t>USD</t>
        </is>
      </c>
      <c r="G232" t="n">
        <v>5</v>
      </c>
      <c r="H232" t="inlineStr">
        <is>
          <t>USD</t>
        </is>
      </c>
    </row>
    <row r="233">
      <c r="A233" t="inlineStr">
        <is>
          <t>B232</t>
        </is>
      </c>
      <c r="B233" t="inlineStr">
        <is>
          <t>A200</t>
        </is>
      </c>
      <c r="C233" s="5" t="n">
        <v>45113</v>
      </c>
      <c r="D233" t="n">
        <v>7</v>
      </c>
      <c r="E233" t="n">
        <v>119.01</v>
      </c>
      <c r="F233" t="inlineStr">
        <is>
          <t>AUD</t>
        </is>
      </c>
      <c r="G233" t="n">
        <v>9.5</v>
      </c>
      <c r="H233" t="inlineStr">
        <is>
          <t>AUD</t>
        </is>
      </c>
    </row>
    <row r="234">
      <c r="A234" t="inlineStr">
        <is>
          <t>B233</t>
        </is>
      </c>
      <c r="B234" t="inlineStr">
        <is>
          <t>VGS</t>
        </is>
      </c>
      <c r="C234" s="5" t="n">
        <v>45113</v>
      </c>
      <c r="D234" t="n">
        <v>10</v>
      </c>
      <c r="E234" t="n">
        <v>105.29</v>
      </c>
      <c r="F234" t="inlineStr">
        <is>
          <t>AUD</t>
        </is>
      </c>
      <c r="G234" t="n">
        <v>9.5</v>
      </c>
      <c r="H234" t="inlineStr">
        <is>
          <t>AUD</t>
        </is>
      </c>
    </row>
    <row r="235">
      <c r="A235" t="inlineStr">
        <is>
          <t>B234</t>
        </is>
      </c>
      <c r="B235" t="inlineStr">
        <is>
          <t>A200</t>
        </is>
      </c>
      <c r="C235" s="5" t="n">
        <v>45142</v>
      </c>
      <c r="D235" t="n">
        <v>10</v>
      </c>
      <c r="E235" t="n">
        <v>121.72</v>
      </c>
      <c r="F235" t="inlineStr">
        <is>
          <t>AUD</t>
        </is>
      </c>
      <c r="G235" t="n">
        <v>9.5</v>
      </c>
      <c r="H235" t="inlineStr">
        <is>
          <t>AUD</t>
        </is>
      </c>
    </row>
    <row r="236">
      <c r="A236" t="inlineStr">
        <is>
          <t>B235</t>
        </is>
      </c>
      <c r="B236" t="inlineStr">
        <is>
          <t>VGS</t>
        </is>
      </c>
      <c r="C236" s="5" t="n">
        <v>45142</v>
      </c>
      <c r="D236" t="n">
        <v>13</v>
      </c>
      <c r="E236" t="n">
        <v>108.94</v>
      </c>
      <c r="F236" t="inlineStr">
        <is>
          <t>AUD</t>
        </is>
      </c>
      <c r="G236" t="n">
        <v>9.5</v>
      </c>
      <c r="H236" t="inlineStr">
        <is>
          <t>AUD</t>
        </is>
      </c>
    </row>
    <row r="237">
      <c r="A237" t="inlineStr">
        <is>
          <t>B236</t>
        </is>
      </c>
      <c r="B237" t="inlineStr">
        <is>
          <t>AAPL</t>
        </is>
      </c>
      <c r="C237" s="5" t="n">
        <v>45145</v>
      </c>
      <c r="D237" t="n">
        <v>3</v>
      </c>
      <c r="E237" t="n">
        <v>178.85</v>
      </c>
      <c r="F237" t="inlineStr">
        <is>
          <t>USD</t>
        </is>
      </c>
      <c r="G237" t="n">
        <v>5</v>
      </c>
      <c r="H237" t="inlineStr">
        <is>
          <t>USD</t>
        </is>
      </c>
    </row>
    <row r="238">
      <c r="A238" t="inlineStr">
        <is>
          <t>B237</t>
        </is>
      </c>
      <c r="B238" t="inlineStr">
        <is>
          <t>A200</t>
        </is>
      </c>
      <c r="C238" s="5" t="n">
        <v>45173</v>
      </c>
      <c r="D238" t="n">
        <v>10</v>
      </c>
      <c r="E238" t="n">
        <v>122.68</v>
      </c>
      <c r="F238" t="inlineStr">
        <is>
          <t>AUD</t>
        </is>
      </c>
      <c r="G238" t="n">
        <v>9.5</v>
      </c>
      <c r="H238" t="inlineStr">
        <is>
          <t>AUD</t>
        </is>
      </c>
    </row>
    <row r="239">
      <c r="A239" t="inlineStr">
        <is>
          <t>B238</t>
        </is>
      </c>
      <c r="B239" t="inlineStr">
        <is>
          <t>VGS</t>
        </is>
      </c>
      <c r="C239" s="5" t="n">
        <v>45173</v>
      </c>
      <c r="D239" t="n">
        <v>13</v>
      </c>
      <c r="E239" t="n">
        <v>110.32</v>
      </c>
      <c r="F239" t="inlineStr">
        <is>
          <t>AUD</t>
        </is>
      </c>
      <c r="G239" t="n">
        <v>9.5</v>
      </c>
      <c r="H239" t="inlineStr">
        <is>
          <t>AUD</t>
        </is>
      </c>
    </row>
    <row r="240">
      <c r="A240" t="inlineStr">
        <is>
          <t>B239</t>
        </is>
      </c>
      <c r="B240" t="inlineStr">
        <is>
          <t>AAPL</t>
        </is>
      </c>
      <c r="C240" s="5" t="n">
        <v>45174</v>
      </c>
      <c r="D240" t="n">
        <v>1</v>
      </c>
      <c r="E240" t="n">
        <v>189.7</v>
      </c>
      <c r="F240" t="inlineStr">
        <is>
          <t>USD</t>
        </is>
      </c>
      <c r="G240" t="n">
        <v>5</v>
      </c>
      <c r="H240" t="inlineStr">
        <is>
          <t>USD</t>
        </is>
      </c>
    </row>
    <row r="241">
      <c r="A241" t="inlineStr">
        <is>
          <t>B240</t>
        </is>
      </c>
      <c r="B241" t="inlineStr">
        <is>
          <t>AAPL</t>
        </is>
      </c>
      <c r="C241" s="5" t="n">
        <v>45180</v>
      </c>
      <c r="D241" t="n">
        <v>2</v>
      </c>
      <c r="E241" t="n">
        <v>179.36</v>
      </c>
      <c r="F241" t="inlineStr">
        <is>
          <t>USD</t>
        </is>
      </c>
      <c r="G241" t="n">
        <v>5</v>
      </c>
      <c r="H241" t="inlineStr">
        <is>
          <t>USD</t>
        </is>
      </c>
    </row>
    <row r="242">
      <c r="A242" t="inlineStr">
        <is>
          <t>B241</t>
        </is>
      </c>
      <c r="B242" t="inlineStr">
        <is>
          <t>MSFT</t>
        </is>
      </c>
      <c r="C242" s="5" t="n">
        <v>45191</v>
      </c>
      <c r="D242" t="n">
        <v>1</v>
      </c>
      <c r="E242" t="n">
        <v>317.01</v>
      </c>
      <c r="F242" t="inlineStr">
        <is>
          <t>USD</t>
        </is>
      </c>
      <c r="G242" t="n">
        <v>5</v>
      </c>
      <c r="H242" t="inlineStr">
        <is>
          <t>USD</t>
        </is>
      </c>
    </row>
    <row r="243">
      <c r="A243" t="inlineStr">
        <is>
          <t>B242</t>
        </is>
      </c>
      <c r="B243" t="inlineStr">
        <is>
          <t>A200</t>
        </is>
      </c>
      <c r="C243" s="5" t="n">
        <v>45205</v>
      </c>
      <c r="D243" t="n">
        <v>7</v>
      </c>
      <c r="E243" t="n">
        <v>115.56</v>
      </c>
      <c r="F243" t="inlineStr">
        <is>
          <t>AUD</t>
        </is>
      </c>
      <c r="G243" t="n">
        <v>9.5</v>
      </c>
      <c r="H243" t="inlineStr">
        <is>
          <t>AUD</t>
        </is>
      </c>
    </row>
    <row r="244">
      <c r="A244" t="inlineStr">
        <is>
          <t>B243</t>
        </is>
      </c>
      <c r="B244" t="inlineStr">
        <is>
          <t>VGS</t>
        </is>
      </c>
      <c r="C244" s="5" t="n">
        <v>45205</v>
      </c>
      <c r="D244" t="n">
        <v>9</v>
      </c>
      <c r="E244" t="n">
        <v>105.01</v>
      </c>
      <c r="F244" t="inlineStr">
        <is>
          <t>AUD</t>
        </is>
      </c>
      <c r="G244" t="n">
        <v>9.5</v>
      </c>
      <c r="H244" t="inlineStr">
        <is>
          <t>AUD</t>
        </is>
      </c>
    </row>
    <row r="245">
      <c r="A245" t="inlineStr">
        <is>
          <t>B244</t>
        </is>
      </c>
      <c r="B245" t="inlineStr">
        <is>
          <t>AMZN</t>
        </is>
      </c>
      <c r="C245" s="5" t="n">
        <v>45230</v>
      </c>
      <c r="D245" t="n">
        <v>6</v>
      </c>
      <c r="E245" t="n">
        <v>133.09</v>
      </c>
      <c r="F245" t="inlineStr">
        <is>
          <t>USD</t>
        </is>
      </c>
      <c r="G245" t="n">
        <v>5</v>
      </c>
      <c r="H245" t="inlineStr">
        <is>
          <t>USD</t>
        </is>
      </c>
    </row>
    <row r="246">
      <c r="A246" t="inlineStr">
        <is>
          <t>B245</t>
        </is>
      </c>
      <c r="B246" t="inlineStr">
        <is>
          <t>A200</t>
        </is>
      </c>
      <c r="C246" s="5" t="n">
        <v>45232</v>
      </c>
      <c r="D246" t="n">
        <v>13</v>
      </c>
      <c r="E246" t="n">
        <v>114.66</v>
      </c>
      <c r="F246" t="inlineStr">
        <is>
          <t>AUD</t>
        </is>
      </c>
      <c r="G246" t="n">
        <v>9.5</v>
      </c>
      <c r="H246" t="inlineStr">
        <is>
          <t>AUD</t>
        </is>
      </c>
    </row>
    <row r="247">
      <c r="A247" t="inlineStr">
        <is>
          <t>B246</t>
        </is>
      </c>
      <c r="B247" t="inlineStr">
        <is>
          <t>VGS</t>
        </is>
      </c>
      <c r="C247" s="5" t="n">
        <v>45232</v>
      </c>
      <c r="D247" t="n">
        <v>18</v>
      </c>
      <c r="E247" t="n">
        <v>103.99</v>
      </c>
      <c r="F247" t="inlineStr">
        <is>
          <t>AUD</t>
        </is>
      </c>
      <c r="G247" t="n">
        <v>9.5</v>
      </c>
      <c r="H247" t="inlineStr">
        <is>
          <t>AUD</t>
        </is>
      </c>
    </row>
    <row r="248">
      <c r="A248" t="inlineStr">
        <is>
          <t>B247</t>
        </is>
      </c>
      <c r="B248" t="inlineStr">
        <is>
          <t>AAPL</t>
        </is>
      </c>
      <c r="C248" s="5" t="n">
        <v>45244</v>
      </c>
      <c r="D248" t="n">
        <v>2</v>
      </c>
      <c r="E248" t="n">
        <v>187.44</v>
      </c>
      <c r="F248" t="inlineStr">
        <is>
          <t>USD</t>
        </is>
      </c>
      <c r="G248" t="n">
        <v>5</v>
      </c>
      <c r="H248" t="inlineStr">
        <is>
          <t>USD</t>
        </is>
      </c>
    </row>
    <row r="249">
      <c r="A249" t="inlineStr">
        <is>
          <t>B248</t>
        </is>
      </c>
      <c r="B249" t="inlineStr">
        <is>
          <t>A200</t>
        </is>
      </c>
      <c r="C249" s="5" t="n">
        <v>45264</v>
      </c>
      <c r="D249" t="n">
        <v>12</v>
      </c>
      <c r="E249" t="n">
        <v>119</v>
      </c>
      <c r="F249" t="inlineStr">
        <is>
          <t>AUD</t>
        </is>
      </c>
      <c r="G249" t="n">
        <v>9.5</v>
      </c>
      <c r="H249" t="inlineStr">
        <is>
          <t>AUD</t>
        </is>
      </c>
    </row>
    <row r="250">
      <c r="A250" t="inlineStr">
        <is>
          <t>B249</t>
        </is>
      </c>
      <c r="B250" t="inlineStr">
        <is>
          <t>VGS</t>
        </is>
      </c>
      <c r="C250" s="5" t="n">
        <v>45264</v>
      </c>
      <c r="D250" t="n">
        <v>16</v>
      </c>
      <c r="E250" t="n">
        <v>108.7</v>
      </c>
      <c r="F250" t="inlineStr">
        <is>
          <t>AUD</t>
        </is>
      </c>
      <c r="G250" t="n">
        <v>9.5</v>
      </c>
      <c r="H250" t="inlineStr">
        <is>
          <t>AUD</t>
        </is>
      </c>
    </row>
    <row r="251">
      <c r="A251" t="inlineStr">
        <is>
          <t>B250</t>
        </is>
      </c>
      <c r="B251" t="inlineStr">
        <is>
          <t>MSFT</t>
        </is>
      </c>
      <c r="C251" s="5" t="n">
        <v>45271</v>
      </c>
      <c r="D251" t="n">
        <v>1</v>
      </c>
      <c r="E251" t="n">
        <v>371.3</v>
      </c>
      <c r="F251" t="inlineStr">
        <is>
          <t>USD</t>
        </is>
      </c>
      <c r="G251" t="n">
        <v>5</v>
      </c>
      <c r="H251" t="inlineStr">
        <is>
          <t>USD</t>
        </is>
      </c>
    </row>
    <row r="252">
      <c r="A252" t="inlineStr">
        <is>
          <t>B251</t>
        </is>
      </c>
      <c r="B252" t="inlineStr">
        <is>
          <t>A200</t>
        </is>
      </c>
      <c r="C252" s="5" t="n">
        <v>45294</v>
      </c>
      <c r="D252" t="n">
        <v>10</v>
      </c>
      <c r="E252" t="n">
        <v>124.78</v>
      </c>
      <c r="F252" t="inlineStr">
        <is>
          <t>AUD</t>
        </is>
      </c>
      <c r="G252" t="n">
        <v>9.5</v>
      </c>
      <c r="H252" t="inlineStr">
        <is>
          <t>AUD</t>
        </is>
      </c>
    </row>
    <row r="253">
      <c r="A253" t="inlineStr">
        <is>
          <t>B252</t>
        </is>
      </c>
      <c r="B253" t="inlineStr">
        <is>
          <t>VGS</t>
        </is>
      </c>
      <c r="C253" s="5" t="n">
        <v>45294</v>
      </c>
      <c r="D253" t="n">
        <v>13</v>
      </c>
      <c r="E253" t="n">
        <v>110.03</v>
      </c>
      <c r="F253" t="inlineStr">
        <is>
          <t>AUD</t>
        </is>
      </c>
      <c r="G253" t="n">
        <v>9.5</v>
      </c>
      <c r="H253" t="inlineStr">
        <is>
          <t>AUD</t>
        </is>
      </c>
    </row>
    <row r="254">
      <c r="A254" t="inlineStr">
        <is>
          <t>B253</t>
        </is>
      </c>
      <c r="B254" t="inlineStr">
        <is>
          <t>BHP</t>
        </is>
      </c>
      <c r="C254" s="5" t="n">
        <v>45306</v>
      </c>
      <c r="D254" t="n">
        <v>17</v>
      </c>
      <c r="E254" t="n">
        <v>47.27</v>
      </c>
      <c r="F254" t="inlineStr">
        <is>
          <t>AUD</t>
        </is>
      </c>
      <c r="G254" t="n">
        <v>19.95</v>
      </c>
      <c r="H254" t="inlineStr">
        <is>
          <t>AUD</t>
        </is>
      </c>
    </row>
    <row r="255">
      <c r="A255" t="inlineStr">
        <is>
          <t>B254</t>
        </is>
      </c>
      <c r="B255" t="inlineStr">
        <is>
          <t>AAPL</t>
        </is>
      </c>
      <c r="C255" s="5" t="n">
        <v>45307</v>
      </c>
      <c r="D255" t="n">
        <v>4</v>
      </c>
      <c r="E255" t="n">
        <v>183.63</v>
      </c>
      <c r="F255" t="inlineStr">
        <is>
          <t>USD</t>
        </is>
      </c>
      <c r="G255" t="n">
        <v>5</v>
      </c>
      <c r="H255" t="inlineStr">
        <is>
          <t>USD</t>
        </is>
      </c>
    </row>
    <row r="256">
      <c r="A256" t="inlineStr">
        <is>
          <t>B255</t>
        </is>
      </c>
      <c r="B256" t="inlineStr">
        <is>
          <t>A200</t>
        </is>
      </c>
      <c r="C256" s="5" t="n">
        <v>45327</v>
      </c>
      <c r="D256" t="n">
        <v>7</v>
      </c>
      <c r="E256" t="n">
        <v>126.59</v>
      </c>
      <c r="F256" t="inlineStr">
        <is>
          <t>AUD</t>
        </is>
      </c>
      <c r="G256" t="n">
        <v>9.5</v>
      </c>
      <c r="H256" t="inlineStr">
        <is>
          <t>AUD</t>
        </is>
      </c>
    </row>
    <row r="257">
      <c r="A257" t="inlineStr">
        <is>
          <t>B256</t>
        </is>
      </c>
      <c r="B257" t="inlineStr">
        <is>
          <t>VGS</t>
        </is>
      </c>
      <c r="C257" s="5" t="n">
        <v>45327</v>
      </c>
      <c r="D257" t="n">
        <v>10</v>
      </c>
      <c r="E257" t="n">
        <v>118.12</v>
      </c>
      <c r="F257" t="inlineStr">
        <is>
          <t>AUD</t>
        </is>
      </c>
      <c r="G257" t="n">
        <v>9.5</v>
      </c>
      <c r="H257" t="inlineStr">
        <is>
          <t>AUD</t>
        </is>
      </c>
    </row>
    <row r="258">
      <c r="A258" t="inlineStr">
        <is>
          <t>B257</t>
        </is>
      </c>
      <c r="B258" t="inlineStr">
        <is>
          <t>A200</t>
        </is>
      </c>
      <c r="C258" s="5" t="n">
        <v>45355</v>
      </c>
      <c r="D258" t="n">
        <v>11</v>
      </c>
      <c r="E258" t="n">
        <v>129.19</v>
      </c>
      <c r="F258" t="inlineStr">
        <is>
          <t>AUD</t>
        </is>
      </c>
      <c r="G258" t="n">
        <v>9.5</v>
      </c>
      <c r="H258" t="inlineStr">
        <is>
          <t>AUD</t>
        </is>
      </c>
    </row>
    <row r="259">
      <c r="A259" t="inlineStr">
        <is>
          <t>B258</t>
        </is>
      </c>
      <c r="B259" t="inlineStr">
        <is>
          <t>VGS</t>
        </is>
      </c>
      <c r="C259" s="5" t="n">
        <v>45355</v>
      </c>
      <c r="D259" t="n">
        <v>15</v>
      </c>
      <c r="E259" t="n">
        <v>122.61</v>
      </c>
      <c r="F259" t="inlineStr">
        <is>
          <t>AUD</t>
        </is>
      </c>
      <c r="G259" t="n">
        <v>9.5</v>
      </c>
      <c r="H259" t="inlineStr">
        <is>
          <t>AUD</t>
        </is>
      </c>
    </row>
    <row r="260">
      <c r="A260" t="inlineStr">
        <is>
          <t>B259</t>
        </is>
      </c>
      <c r="B260" t="inlineStr">
        <is>
          <t>A200</t>
        </is>
      </c>
      <c r="C260" s="5" t="n">
        <v>45386</v>
      </c>
      <c r="D260" t="n">
        <v>5</v>
      </c>
      <c r="E260" t="n">
        <v>130.41</v>
      </c>
      <c r="F260" t="inlineStr">
        <is>
          <t>AUD</t>
        </is>
      </c>
      <c r="G260" t="n">
        <v>9.5</v>
      </c>
      <c r="H260" t="inlineStr">
        <is>
          <t>AUD</t>
        </is>
      </c>
    </row>
    <row r="261">
      <c r="A261" t="inlineStr">
        <is>
          <t>B260</t>
        </is>
      </c>
      <c r="B261" t="inlineStr">
        <is>
          <t>VGS</t>
        </is>
      </c>
      <c r="C261" s="5" t="n">
        <v>45386</v>
      </c>
      <c r="D261" t="n">
        <v>7</v>
      </c>
      <c r="E261" t="n">
        <v>122.7</v>
      </c>
      <c r="F261" t="inlineStr">
        <is>
          <t>AUD</t>
        </is>
      </c>
      <c r="G261" t="n">
        <v>9.5</v>
      </c>
      <c r="H261" t="inlineStr">
        <is>
          <t>AUD</t>
        </is>
      </c>
    </row>
    <row r="262">
      <c r="A262" t="inlineStr">
        <is>
          <t>B261</t>
        </is>
      </c>
      <c r="B262" t="inlineStr">
        <is>
          <t>AAPL</t>
        </is>
      </c>
      <c r="C262" s="5" t="n">
        <v>45404</v>
      </c>
      <c r="D262" t="n">
        <v>3</v>
      </c>
      <c r="E262" t="n">
        <v>165.84</v>
      </c>
      <c r="F262" t="inlineStr">
        <is>
          <t>USD</t>
        </is>
      </c>
      <c r="G262" t="n">
        <v>5</v>
      </c>
      <c r="H262" t="inlineStr">
        <is>
          <t>USD</t>
        </is>
      </c>
    </row>
    <row r="263">
      <c r="A263" t="inlineStr">
        <is>
          <t>B262</t>
        </is>
      </c>
      <c r="B263" t="inlineStr">
        <is>
          <t>AMZN</t>
        </is>
      </c>
      <c r="C263" s="5" t="n">
        <v>45411</v>
      </c>
      <c r="D263" t="n">
        <v>2</v>
      </c>
      <c r="E263" t="n">
        <v>180.96</v>
      </c>
      <c r="F263" t="inlineStr">
        <is>
          <t>USD</t>
        </is>
      </c>
      <c r="G263" t="n">
        <v>5</v>
      </c>
      <c r="H263" t="inlineStr">
        <is>
          <t>USD</t>
        </is>
      </c>
    </row>
    <row r="264">
      <c r="A264" t="inlineStr">
        <is>
          <t>B263</t>
        </is>
      </c>
      <c r="B264" t="inlineStr">
        <is>
          <t>A200</t>
        </is>
      </c>
      <c r="C264" s="5" t="n">
        <v>45418</v>
      </c>
      <c r="D264" t="n">
        <v>7</v>
      </c>
      <c r="E264" t="n">
        <v>128.11</v>
      </c>
      <c r="F264" t="inlineStr">
        <is>
          <t>AUD</t>
        </is>
      </c>
      <c r="G264" t="n">
        <v>9.5</v>
      </c>
      <c r="H264" t="inlineStr">
        <is>
          <t>AUD</t>
        </is>
      </c>
    </row>
    <row r="265">
      <c r="A265" t="inlineStr">
        <is>
          <t>B264</t>
        </is>
      </c>
      <c r="B265" t="inlineStr">
        <is>
          <t>VGS</t>
        </is>
      </c>
      <c r="C265" s="5" t="n">
        <v>45418</v>
      </c>
      <c r="D265" t="n">
        <v>10</v>
      </c>
      <c r="E265" t="n">
        <v>120.31</v>
      </c>
      <c r="F265" t="inlineStr">
        <is>
          <t>AUD</t>
        </is>
      </c>
      <c r="G265" t="n">
        <v>9.5</v>
      </c>
      <c r="H265" t="inlineStr">
        <is>
          <t>AUD</t>
        </is>
      </c>
    </row>
    <row r="266">
      <c r="A266" t="inlineStr">
        <is>
          <t>B265</t>
        </is>
      </c>
      <c r="B266" t="inlineStr">
        <is>
          <t>AMZN</t>
        </is>
      </c>
      <c r="C266" s="5" t="n">
        <v>45432</v>
      </c>
      <c r="D266" t="n">
        <v>3</v>
      </c>
      <c r="E266" t="n">
        <v>183.54</v>
      </c>
      <c r="F266" t="inlineStr">
        <is>
          <t>USD</t>
        </is>
      </c>
      <c r="G266" t="n">
        <v>5</v>
      </c>
      <c r="H266" t="inlineStr">
        <is>
          <t>USD</t>
        </is>
      </c>
    </row>
    <row r="267">
      <c r="A267" t="inlineStr">
        <is>
          <t>B266</t>
        </is>
      </c>
      <c r="B267" t="inlineStr">
        <is>
          <t>A200</t>
        </is>
      </c>
      <c r="C267" s="5" t="n">
        <v>45446</v>
      </c>
      <c r="D267" t="n">
        <v>6</v>
      </c>
      <c r="E267" t="n">
        <v>130.02</v>
      </c>
      <c r="F267" t="inlineStr">
        <is>
          <t>AUD</t>
        </is>
      </c>
      <c r="G267" t="n">
        <v>9.5</v>
      </c>
      <c r="H267" t="inlineStr">
        <is>
          <t>AUD</t>
        </is>
      </c>
    </row>
    <row r="268">
      <c r="A268" t="inlineStr">
        <is>
          <t>B267</t>
        </is>
      </c>
      <c r="B268" t="inlineStr">
        <is>
          <t>VGS</t>
        </is>
      </c>
      <c r="C268" s="5" t="n">
        <v>45446</v>
      </c>
      <c r="D268" t="n">
        <v>8</v>
      </c>
      <c r="E268" t="n">
        <v>123.61</v>
      </c>
      <c r="F268" t="inlineStr">
        <is>
          <t>AUD</t>
        </is>
      </c>
      <c r="G268" t="n">
        <v>9.5</v>
      </c>
      <c r="H268" t="inlineStr">
        <is>
          <t>AUD</t>
        </is>
      </c>
    </row>
    <row r="269">
      <c r="A269" t="inlineStr">
        <is>
          <t>B268</t>
        </is>
      </c>
      <c r="B269" t="inlineStr">
        <is>
          <t>AAPL</t>
        </is>
      </c>
      <c r="C269" s="5" t="n">
        <v>45463</v>
      </c>
      <c r="D269" t="n">
        <v>3</v>
      </c>
      <c r="E269" t="n">
        <v>209.68</v>
      </c>
      <c r="F269" t="inlineStr">
        <is>
          <t>USD</t>
        </is>
      </c>
      <c r="G269" t="n">
        <v>5</v>
      </c>
      <c r="H269" t="inlineStr">
        <is>
          <t>USD</t>
        </is>
      </c>
    </row>
    <row r="270">
      <c r="A270" t="inlineStr">
        <is>
          <t>B269</t>
        </is>
      </c>
      <c r="B270" t="inlineStr">
        <is>
          <t>A200</t>
        </is>
      </c>
      <c r="C270" s="5" t="n">
        <v>45475</v>
      </c>
      <c r="D270" t="n">
        <v>10</v>
      </c>
      <c r="E270" t="n">
        <v>128.7</v>
      </c>
      <c r="F270" t="inlineStr">
        <is>
          <t>AUD</t>
        </is>
      </c>
      <c r="G270" t="n">
        <v>9.5</v>
      </c>
      <c r="H270" t="inlineStr">
        <is>
          <t>AUD</t>
        </is>
      </c>
    </row>
    <row r="271">
      <c r="A271" t="inlineStr">
        <is>
          <t>B270</t>
        </is>
      </c>
      <c r="B271" t="inlineStr">
        <is>
          <t>VGS</t>
        </is>
      </c>
      <c r="C271" s="5" t="n">
        <v>45475</v>
      </c>
      <c r="D271" t="n">
        <v>13</v>
      </c>
      <c r="E271" t="n">
        <v>123.56</v>
      </c>
      <c r="F271" t="inlineStr">
        <is>
          <t>AUD</t>
        </is>
      </c>
      <c r="G271" t="n">
        <v>9.5</v>
      </c>
      <c r="H271" t="inlineStr">
        <is>
          <t>AUD</t>
        </is>
      </c>
    </row>
    <row r="272">
      <c r="A272" t="inlineStr">
        <is>
          <t>B271</t>
        </is>
      </c>
      <c r="B272" t="inlineStr">
        <is>
          <t>A200</t>
        </is>
      </c>
      <c r="C272" s="5" t="n">
        <v>45509</v>
      </c>
      <c r="D272" t="n">
        <v>7</v>
      </c>
      <c r="E272" t="n">
        <v>127.61</v>
      </c>
      <c r="F272" t="inlineStr">
        <is>
          <t>AUD</t>
        </is>
      </c>
      <c r="G272" t="n">
        <v>9.5</v>
      </c>
      <c r="H272" t="inlineStr">
        <is>
          <t>AUD</t>
        </is>
      </c>
    </row>
    <row r="273">
      <c r="A273" t="inlineStr">
        <is>
          <t>B272</t>
        </is>
      </c>
      <c r="B273" t="inlineStr">
        <is>
          <t>VGS</t>
        </is>
      </c>
      <c r="C273" s="5" t="n">
        <v>45509</v>
      </c>
      <c r="D273" t="n">
        <v>9</v>
      </c>
      <c r="E273" t="n">
        <v>121.59</v>
      </c>
      <c r="F273" t="inlineStr">
        <is>
          <t>AUD</t>
        </is>
      </c>
      <c r="G273" t="n">
        <v>9.5</v>
      </c>
      <c r="H273" t="inlineStr">
        <is>
          <t>AUD</t>
        </is>
      </c>
    </row>
    <row r="274">
      <c r="A274" t="inlineStr">
        <is>
          <t>B273</t>
        </is>
      </c>
      <c r="B274" t="inlineStr">
        <is>
          <t>A200</t>
        </is>
      </c>
      <c r="C274" s="5" t="n">
        <v>45541</v>
      </c>
      <c r="D274" t="n">
        <v>5</v>
      </c>
      <c r="E274" t="n">
        <v>134.6</v>
      </c>
      <c r="F274" t="inlineStr">
        <is>
          <t>AUD</t>
        </is>
      </c>
      <c r="G274" t="n">
        <v>9.5</v>
      </c>
      <c r="H274" t="inlineStr">
        <is>
          <t>AUD</t>
        </is>
      </c>
    </row>
    <row r="275">
      <c r="A275" t="inlineStr">
        <is>
          <t>B274</t>
        </is>
      </c>
      <c r="B275" t="inlineStr">
        <is>
          <t>VGS</t>
        </is>
      </c>
      <c r="C275" s="5" t="n">
        <v>45541</v>
      </c>
      <c r="D275" t="n">
        <v>6</v>
      </c>
      <c r="E275" t="n">
        <v>123.75</v>
      </c>
      <c r="F275" t="inlineStr">
        <is>
          <t>AUD</t>
        </is>
      </c>
      <c r="G275" t="n">
        <v>9.5</v>
      </c>
      <c r="H275" t="inlineStr">
        <is>
          <t>AUD</t>
        </is>
      </c>
    </row>
    <row r="276">
      <c r="A276" t="inlineStr">
        <is>
          <t>B275</t>
        </is>
      </c>
      <c r="B276" t="inlineStr">
        <is>
          <t>A200</t>
        </is>
      </c>
      <c r="C276" s="5" t="n">
        <v>45572</v>
      </c>
      <c r="D276" t="n">
        <v>6</v>
      </c>
      <c r="E276" t="n">
        <v>137.12</v>
      </c>
      <c r="F276" t="inlineStr">
        <is>
          <t>AUD</t>
        </is>
      </c>
      <c r="G276" t="n">
        <v>9.5</v>
      </c>
      <c r="H276" t="inlineStr">
        <is>
          <t>AUD</t>
        </is>
      </c>
    </row>
    <row r="277">
      <c r="A277" t="inlineStr">
        <is>
          <t>B276</t>
        </is>
      </c>
      <c r="B277" t="inlineStr">
        <is>
          <t>VGS</t>
        </is>
      </c>
      <c r="C277" s="5" t="n">
        <v>45572</v>
      </c>
      <c r="D277" t="n">
        <v>8</v>
      </c>
      <c r="E277" t="n">
        <v>127</v>
      </c>
      <c r="F277" t="inlineStr">
        <is>
          <t>AUD</t>
        </is>
      </c>
      <c r="G277" t="n">
        <v>9.5</v>
      </c>
      <c r="H277" t="inlineStr">
        <is>
          <t>AUD</t>
        </is>
      </c>
    </row>
    <row r="278">
      <c r="A278" t="inlineStr">
        <is>
          <t>B277</t>
        </is>
      </c>
      <c r="B278" t="inlineStr">
        <is>
          <t>A200</t>
        </is>
      </c>
      <c r="C278" s="5" t="n">
        <v>45600</v>
      </c>
      <c r="D278" t="n">
        <v>10</v>
      </c>
      <c r="E278" t="n">
        <v>136.46</v>
      </c>
      <c r="F278" t="inlineStr">
        <is>
          <t>AUD</t>
        </is>
      </c>
      <c r="G278" t="n">
        <v>9.5</v>
      </c>
      <c r="H278" t="inlineStr">
        <is>
          <t>AUD</t>
        </is>
      </c>
    </row>
    <row r="279">
      <c r="A279" t="inlineStr">
        <is>
          <t>B278</t>
        </is>
      </c>
      <c r="B279" t="inlineStr">
        <is>
          <t>MSFT</t>
        </is>
      </c>
      <c r="C279" s="5" t="n">
        <v>45600</v>
      </c>
      <c r="D279" t="n">
        <v>2</v>
      </c>
      <c r="E279" t="n">
        <v>408.46</v>
      </c>
      <c r="F279" t="inlineStr">
        <is>
          <t>USD</t>
        </is>
      </c>
      <c r="G279" t="n">
        <v>5</v>
      </c>
      <c r="H279" t="inlineStr">
        <is>
          <t>USD</t>
        </is>
      </c>
    </row>
    <row r="280">
      <c r="A280" t="inlineStr">
        <is>
          <t>B279</t>
        </is>
      </c>
      <c r="B280" t="inlineStr">
        <is>
          <t>VGS</t>
        </is>
      </c>
      <c r="C280" s="5" t="n">
        <v>45600</v>
      </c>
      <c r="D280" t="n">
        <v>13</v>
      </c>
      <c r="E280" t="n">
        <v>129.83</v>
      </c>
      <c r="F280" t="inlineStr">
        <is>
          <t>AUD</t>
        </is>
      </c>
      <c r="G280" t="n">
        <v>9.5</v>
      </c>
      <c r="H280" t="inlineStr">
        <is>
          <t>AUD</t>
        </is>
      </c>
    </row>
    <row r="281">
      <c r="A281" t="inlineStr">
        <is>
          <t>B280</t>
        </is>
      </c>
      <c r="B281" t="inlineStr">
        <is>
          <t>A200</t>
        </is>
      </c>
      <c r="C281" s="5" t="n">
        <v>45630</v>
      </c>
      <c r="D281" t="n">
        <v>7</v>
      </c>
      <c r="E281" t="n">
        <v>141.85</v>
      </c>
      <c r="F281" t="inlineStr">
        <is>
          <t>AUD</t>
        </is>
      </c>
      <c r="G281" t="n">
        <v>9.5</v>
      </c>
      <c r="H281" t="inlineStr">
        <is>
          <t>AUD</t>
        </is>
      </c>
    </row>
    <row r="282">
      <c r="A282" t="inlineStr">
        <is>
          <t>B281</t>
        </is>
      </c>
      <c r="B282" t="inlineStr">
        <is>
          <t>VGS</t>
        </is>
      </c>
      <c r="C282" s="5" t="n">
        <v>45630</v>
      </c>
      <c r="D282" t="n">
        <v>9</v>
      </c>
      <c r="E282" t="n">
        <v>139.2</v>
      </c>
      <c r="F282" t="inlineStr">
        <is>
          <t>AUD</t>
        </is>
      </c>
      <c r="G282" t="n">
        <v>9.5</v>
      </c>
      <c r="H282" t="inlineStr">
        <is>
          <t>AUD</t>
        </is>
      </c>
    </row>
    <row r="283">
      <c r="A283" t="inlineStr">
        <is>
          <t>B282</t>
        </is>
      </c>
      <c r="B283" t="inlineStr">
        <is>
          <t>AMZN</t>
        </is>
      </c>
      <c r="C283" s="5" t="n">
        <v>45635</v>
      </c>
      <c r="D283" t="n">
        <v>2</v>
      </c>
      <c r="E283" t="n">
        <v>226.09</v>
      </c>
      <c r="F283" t="inlineStr">
        <is>
          <t>USD</t>
        </is>
      </c>
      <c r="G283" t="n">
        <v>5</v>
      </c>
      <c r="H283" t="inlineStr">
        <is>
          <t>USD</t>
        </is>
      </c>
    </row>
    <row r="284">
      <c r="A284" t="inlineStr">
        <is>
          <t>B283</t>
        </is>
      </c>
      <c r="B284" t="inlineStr">
        <is>
          <t>MSFT</t>
        </is>
      </c>
      <c r="C284" s="5" t="n">
        <v>45635</v>
      </c>
      <c r="D284" t="n">
        <v>1</v>
      </c>
      <c r="E284" t="n">
        <v>446.02</v>
      </c>
      <c r="F284" t="inlineStr">
        <is>
          <t>USD</t>
        </is>
      </c>
      <c r="G284" t="n">
        <v>5</v>
      </c>
      <c r="H284" t="inlineStr">
        <is>
          <t>USD</t>
        </is>
      </c>
    </row>
    <row r="285">
      <c r="A285" t="inlineStr">
        <is>
          <t>B284</t>
        </is>
      </c>
      <c r="B285" t="inlineStr">
        <is>
          <t>A200</t>
        </is>
      </c>
      <c r="C285" s="5" t="n">
        <v>45663</v>
      </c>
      <c r="D285" t="n">
        <v>5</v>
      </c>
      <c r="E285" t="n">
        <v>137.26</v>
      </c>
      <c r="F285" t="inlineStr">
        <is>
          <t>AUD</t>
        </is>
      </c>
      <c r="G285" t="n">
        <v>9.5</v>
      </c>
      <c r="H285" t="inlineStr">
        <is>
          <t>AUD</t>
        </is>
      </c>
    </row>
    <row r="286">
      <c r="A286" t="inlineStr">
        <is>
          <t>B285</t>
        </is>
      </c>
      <c r="B286" t="inlineStr">
        <is>
          <t>VGS</t>
        </is>
      </c>
      <c r="C286" s="5" t="n">
        <v>45663</v>
      </c>
      <c r="D286" t="n">
        <v>6</v>
      </c>
      <c r="E286" t="n">
        <v>140.07</v>
      </c>
      <c r="F286" t="inlineStr">
        <is>
          <t>AUD</t>
        </is>
      </c>
      <c r="G286" t="n">
        <v>9.5</v>
      </c>
      <c r="H286" t="inlineStr">
        <is>
          <t>AUD</t>
        </is>
      </c>
    </row>
    <row r="287">
      <c r="A287" t="inlineStr">
        <is>
          <t>B286</t>
        </is>
      </c>
      <c r="B287" t="inlineStr">
        <is>
          <t>A200</t>
        </is>
      </c>
      <c r="C287" s="5" t="n">
        <v>45691</v>
      </c>
      <c r="D287" t="n">
        <v>6</v>
      </c>
      <c r="E287" t="n">
        <v>139.24</v>
      </c>
      <c r="F287" t="inlineStr">
        <is>
          <t>AUD</t>
        </is>
      </c>
      <c r="G287" t="n">
        <v>9.5</v>
      </c>
      <c r="H287" t="inlineStr">
        <is>
          <t>AUD</t>
        </is>
      </c>
    </row>
    <row r="288">
      <c r="A288" t="inlineStr">
        <is>
          <t>B287</t>
        </is>
      </c>
      <c r="B288" t="inlineStr">
        <is>
          <t>VGS</t>
        </is>
      </c>
      <c r="C288" s="5" t="n">
        <v>45691</v>
      </c>
      <c r="D288" t="n">
        <v>7</v>
      </c>
      <c r="E288" t="n">
        <v>142.6</v>
      </c>
      <c r="F288" t="inlineStr">
        <is>
          <t>AUD</t>
        </is>
      </c>
      <c r="G288" t="n">
        <v>9.5</v>
      </c>
      <c r="H288" t="inlineStr">
        <is>
          <t>AUD</t>
        </is>
      </c>
    </row>
    <row r="289">
      <c r="A289" t="inlineStr">
        <is>
          <t>B288</t>
        </is>
      </c>
      <c r="B289" t="inlineStr">
        <is>
          <t>AAPL</t>
        </is>
      </c>
      <c r="C289" s="5" t="n">
        <v>45702</v>
      </c>
      <c r="D289" t="n">
        <v>2</v>
      </c>
      <c r="E289" t="n">
        <v>244.6</v>
      </c>
      <c r="F289" t="inlineStr">
        <is>
          <t>USD</t>
        </is>
      </c>
      <c r="G289" t="n">
        <v>5</v>
      </c>
      <c r="H289" t="inlineStr">
        <is>
          <t>USD</t>
        </is>
      </c>
    </row>
    <row r="290">
      <c r="A290" t="inlineStr">
        <is>
          <t>B289</t>
        </is>
      </c>
      <c r="B290" t="inlineStr">
        <is>
          <t>A200</t>
        </is>
      </c>
      <c r="C290" s="5" t="n">
        <v>45719</v>
      </c>
      <c r="D290" t="n">
        <v>6</v>
      </c>
      <c r="E290" t="n">
        <v>137.69</v>
      </c>
      <c r="F290" t="inlineStr">
        <is>
          <t>AUD</t>
        </is>
      </c>
      <c r="G290" t="n">
        <v>9.5</v>
      </c>
      <c r="H290" t="inlineStr">
        <is>
          <t>AUD</t>
        </is>
      </c>
    </row>
    <row r="291">
      <c r="A291" t="inlineStr">
        <is>
          <t>B290</t>
        </is>
      </c>
      <c r="B291" t="inlineStr">
        <is>
          <t>VGS</t>
        </is>
      </c>
      <c r="C291" s="5" t="n">
        <v>45719</v>
      </c>
      <c r="D291" t="n">
        <v>8</v>
      </c>
      <c r="E291" t="n">
        <v>143.27</v>
      </c>
      <c r="F291" t="inlineStr">
        <is>
          <t>AUD</t>
        </is>
      </c>
      <c r="G291" t="n">
        <v>9.5</v>
      </c>
      <c r="H291" t="inlineStr">
        <is>
          <t>AUD</t>
        </is>
      </c>
    </row>
    <row r="292">
      <c r="A292" t="inlineStr">
        <is>
          <t>B291</t>
        </is>
      </c>
      <c r="B292" t="inlineStr">
        <is>
          <t>A200</t>
        </is>
      </c>
      <c r="C292" s="5" t="n">
        <v>45754</v>
      </c>
      <c r="D292" t="n">
        <v>12</v>
      </c>
      <c r="E292" t="n">
        <v>122.68</v>
      </c>
      <c r="F292" t="inlineStr">
        <is>
          <t>AUD</t>
        </is>
      </c>
      <c r="G292" t="n">
        <v>9.5</v>
      </c>
      <c r="H292" t="inlineStr">
        <is>
          <t>AUD</t>
        </is>
      </c>
    </row>
    <row r="293">
      <c r="A293" t="inlineStr">
        <is>
          <t>B292</t>
        </is>
      </c>
      <c r="B293" t="inlineStr">
        <is>
          <t>VGS</t>
        </is>
      </c>
      <c r="C293" s="5" t="n">
        <v>45754</v>
      </c>
      <c r="D293" t="n">
        <v>15</v>
      </c>
      <c r="E293" t="n">
        <v>123.16</v>
      </c>
      <c r="F293" t="inlineStr">
        <is>
          <t>AUD</t>
        </is>
      </c>
      <c r="G293" t="n">
        <v>9.5</v>
      </c>
      <c r="H293" t="inlineStr">
        <is>
          <t>AUD</t>
        </is>
      </c>
    </row>
    <row r="294">
      <c r="A294" t="inlineStr">
        <is>
          <t>B293</t>
        </is>
      </c>
      <c r="B294" t="inlineStr">
        <is>
          <t>AAPL</t>
        </is>
      </c>
      <c r="C294" s="5" t="n">
        <v>45758</v>
      </c>
      <c r="D294" t="n">
        <v>1</v>
      </c>
      <c r="E294" t="n">
        <v>198.15</v>
      </c>
      <c r="F294" t="inlineStr">
        <is>
          <t>USD</t>
        </is>
      </c>
      <c r="G294" t="n">
        <v>5</v>
      </c>
      <c r="H294" t="inlineStr">
        <is>
          <t>USD</t>
        </is>
      </c>
    </row>
    <row r="295">
      <c r="A295" t="inlineStr">
        <is>
          <t>B294</t>
        </is>
      </c>
      <c r="B295" t="inlineStr">
        <is>
          <t>A200</t>
        </is>
      </c>
      <c r="C295" s="5" t="n">
        <v>45782</v>
      </c>
      <c r="D295" t="n">
        <v>5</v>
      </c>
      <c r="E295" t="n">
        <v>136.22</v>
      </c>
      <c r="F295" t="inlineStr">
        <is>
          <t>AUD</t>
        </is>
      </c>
      <c r="G295" t="n">
        <v>9.5</v>
      </c>
      <c r="H295" t="inlineStr">
        <is>
          <t>AUD</t>
        </is>
      </c>
    </row>
    <row r="296">
      <c r="A296" t="inlineStr">
        <is>
          <t>B295</t>
        </is>
      </c>
      <c r="B296" t="inlineStr">
        <is>
          <t>VGS</t>
        </is>
      </c>
      <c r="C296" s="5" t="n">
        <v>45782</v>
      </c>
      <c r="D296" t="n">
        <v>7</v>
      </c>
      <c r="E296" t="n">
        <v>132.52</v>
      </c>
      <c r="F296" t="inlineStr">
        <is>
          <t>AUD</t>
        </is>
      </c>
      <c r="G296" t="n">
        <v>9.5</v>
      </c>
      <c r="H296" t="inlineStr">
        <is>
          <t>AUD</t>
        </is>
      </c>
    </row>
    <row r="297">
      <c r="A297" t="inlineStr">
        <is>
          <t>B296</t>
        </is>
      </c>
      <c r="B297" t="inlineStr">
        <is>
          <t>A200</t>
        </is>
      </c>
      <c r="C297" s="5" t="n">
        <v>45810</v>
      </c>
      <c r="D297" t="n">
        <v>5</v>
      </c>
      <c r="E297" t="n">
        <v>141.06</v>
      </c>
      <c r="F297" t="inlineStr">
        <is>
          <t>AUD</t>
        </is>
      </c>
      <c r="G297" t="n">
        <v>9.5</v>
      </c>
      <c r="H297" t="inlineStr">
        <is>
          <t>AUD</t>
        </is>
      </c>
    </row>
    <row r="298">
      <c r="A298" t="inlineStr">
        <is>
          <t>B297</t>
        </is>
      </c>
      <c r="B298" t="inlineStr">
        <is>
          <t>MSFT</t>
        </is>
      </c>
      <c r="C298" s="5" t="n">
        <v>45810</v>
      </c>
      <c r="D298" t="n">
        <v>1</v>
      </c>
      <c r="E298" t="n">
        <v>461.97</v>
      </c>
      <c r="F298" t="inlineStr">
        <is>
          <t>USD</t>
        </is>
      </c>
      <c r="G298" t="n">
        <v>5</v>
      </c>
      <c r="H298" t="inlineStr">
        <is>
          <t>USD</t>
        </is>
      </c>
    </row>
    <row r="299">
      <c r="A299" t="inlineStr">
        <is>
          <t>B298</t>
        </is>
      </c>
      <c r="B299" t="inlineStr">
        <is>
          <t>VGS</t>
        </is>
      </c>
      <c r="C299" s="5" t="n">
        <v>45810</v>
      </c>
      <c r="D299" t="n">
        <v>7</v>
      </c>
      <c r="E299" t="n">
        <v>138.24</v>
      </c>
      <c r="F299" t="inlineStr">
        <is>
          <t>AUD</t>
        </is>
      </c>
      <c r="G299" t="n">
        <v>9.5</v>
      </c>
      <c r="H299" t="inlineStr">
        <is>
          <t>AUD</t>
        </is>
      </c>
    </row>
    <row r="300">
      <c r="A300" t="inlineStr">
        <is>
          <t>B299</t>
        </is>
      </c>
      <c r="B300" t="inlineStr">
        <is>
          <t>MSFT</t>
        </is>
      </c>
      <c r="C300" s="5" t="n">
        <v>45813</v>
      </c>
      <c r="D300" t="n">
        <v>2</v>
      </c>
      <c r="E300" t="n">
        <v>467.68</v>
      </c>
      <c r="F300" t="inlineStr">
        <is>
          <t>USD</t>
        </is>
      </c>
      <c r="G300" t="n">
        <v>5</v>
      </c>
      <c r="H300" t="inlineStr">
        <is>
          <t>USD</t>
        </is>
      </c>
    </row>
    <row r="301">
      <c r="A301" t="inlineStr">
        <is>
          <t>B300</t>
        </is>
      </c>
      <c r="B301" t="inlineStr">
        <is>
          <t>A200</t>
        </is>
      </c>
      <c r="C301" s="5" t="n">
        <v>45840</v>
      </c>
      <c r="D301" t="n">
        <v>5</v>
      </c>
      <c r="E301" t="n">
        <v>143.29</v>
      </c>
      <c r="F301" t="inlineStr">
        <is>
          <t>AUD</t>
        </is>
      </c>
      <c r="G301" t="n">
        <v>9.5</v>
      </c>
      <c r="H301" t="inlineStr">
        <is>
          <t>AUD</t>
        </is>
      </c>
    </row>
    <row r="302">
      <c r="A302" t="inlineStr">
        <is>
          <t>B301</t>
        </is>
      </c>
      <c r="B302" t="inlineStr">
        <is>
          <t>VGS</t>
        </is>
      </c>
      <c r="C302" s="5" t="n">
        <v>45840</v>
      </c>
      <c r="D302" t="n">
        <v>6</v>
      </c>
      <c r="E302" t="n">
        <v>141.32</v>
      </c>
      <c r="F302" t="inlineStr">
        <is>
          <t>AUD</t>
        </is>
      </c>
      <c r="G302" t="n">
        <v>9.5</v>
      </c>
      <c r="H302" t="inlineStr">
        <is>
          <t>AUD</t>
        </is>
      </c>
    </row>
    <row r="303">
      <c r="A303" t="inlineStr">
        <is>
          <t>B302</t>
        </is>
      </c>
      <c r="B303" t="inlineStr">
        <is>
          <t>AMZN</t>
        </is>
      </c>
      <c r="C303" s="5" t="n">
        <v>45868</v>
      </c>
      <c r="D303" t="n">
        <v>2</v>
      </c>
      <c r="E303" t="n">
        <v>230.19</v>
      </c>
      <c r="F303" t="inlineStr">
        <is>
          <t>USD</t>
        </is>
      </c>
      <c r="G303" t="n">
        <v>5</v>
      </c>
      <c r="H303" t="inlineStr">
        <is>
          <t>USD</t>
        </is>
      </c>
    </row>
    <row r="304">
      <c r="A304" t="inlineStr">
        <is>
          <t>B303</t>
        </is>
      </c>
      <c r="B304" t="inlineStr">
        <is>
          <t>A200</t>
        </is>
      </c>
      <c r="C304" s="5" t="n">
        <v>45873</v>
      </c>
      <c r="D304" t="n">
        <v>4</v>
      </c>
      <c r="E304" t="n">
        <v>144.28</v>
      </c>
      <c r="F304" t="inlineStr">
        <is>
          <t>AUD</t>
        </is>
      </c>
      <c r="G304" t="n">
        <v>9.5</v>
      </c>
      <c r="H304" t="inlineStr">
        <is>
          <t>AUD</t>
        </is>
      </c>
    </row>
    <row r="305">
      <c r="A305" t="inlineStr">
        <is>
          <t>B304</t>
        </is>
      </c>
      <c r="B305" t="inlineStr">
        <is>
          <t>VGS</t>
        </is>
      </c>
      <c r="C305" s="5" t="n">
        <v>45873</v>
      </c>
      <c r="D305" t="n">
        <v>6</v>
      </c>
      <c r="E305" t="n">
        <v>143.53</v>
      </c>
      <c r="F305" t="inlineStr">
        <is>
          <t>AUD</t>
        </is>
      </c>
      <c r="G305" t="n">
        <v>9.5</v>
      </c>
      <c r="H305" t="inlineStr">
        <is>
          <t>AUD</t>
        </is>
      </c>
    </row>
    <row r="306">
      <c r="A306" t="inlineStr">
        <is>
          <t>B305</t>
        </is>
      </c>
      <c r="B306" t="inlineStr">
        <is>
          <t>CBA</t>
        </is>
      </c>
      <c r="C306" s="5" t="n">
        <v>45883</v>
      </c>
      <c r="D306" t="n">
        <v>3</v>
      </c>
      <c r="E306" t="n">
        <v>167.21</v>
      </c>
      <c r="F306" t="inlineStr">
        <is>
          <t>AUD</t>
        </is>
      </c>
      <c r="G306" t="n">
        <v>19.95</v>
      </c>
      <c r="H306" t="inlineStr">
        <is>
          <t>AUD</t>
        </is>
      </c>
    </row>
    <row r="307">
      <c r="A307" t="inlineStr">
        <is>
          <t>B306</t>
        </is>
      </c>
      <c r="B307" t="inlineStr">
        <is>
          <t>A200</t>
        </is>
      </c>
      <c r="C307" s="5" t="n">
        <v>45904</v>
      </c>
      <c r="D307" t="n">
        <v>7</v>
      </c>
      <c r="E307" t="n">
        <v>148.32</v>
      </c>
      <c r="F307" t="inlineStr">
        <is>
          <t>AUD</t>
        </is>
      </c>
      <c r="G307" t="n">
        <v>9.5</v>
      </c>
      <c r="H307" t="inlineStr">
        <is>
          <t>AUD</t>
        </is>
      </c>
    </row>
    <row r="308">
      <c r="A308" t="inlineStr">
        <is>
          <t>B307</t>
        </is>
      </c>
      <c r="B308" t="inlineStr">
        <is>
          <t>VGS</t>
        </is>
      </c>
      <c r="C308" s="5" t="n">
        <v>45904</v>
      </c>
      <c r="D308" t="n">
        <v>8</v>
      </c>
      <c r="E308" t="n">
        <v>147.36</v>
      </c>
      <c r="F308" t="inlineStr">
        <is>
          <t>AUD</t>
        </is>
      </c>
      <c r="G308" t="n">
        <v>9.5</v>
      </c>
      <c r="H308" t="inlineStr">
        <is>
          <t>AUD</t>
        </is>
      </c>
    </row>
    <row r="309">
      <c r="A309" t="inlineStr">
        <is>
          <t>B308</t>
        </is>
      </c>
      <c r="B309" t="inlineStr">
        <is>
          <t>AMZN</t>
        </is>
      </c>
      <c r="C309" s="5" t="n">
        <v>45915</v>
      </c>
      <c r="D309" t="n">
        <v>1</v>
      </c>
      <c r="E309" t="n">
        <v>231.43</v>
      </c>
      <c r="F309" t="inlineStr">
        <is>
          <t>USD</t>
        </is>
      </c>
      <c r="G309" t="n">
        <v>5</v>
      </c>
      <c r="H309" t="inlineStr">
        <is>
          <t>USD</t>
        </is>
      </c>
    </row>
    <row r="310">
      <c r="A310" t="inlineStr">
        <is>
          <t>B309</t>
        </is>
      </c>
      <c r="B310" t="inlineStr">
        <is>
          <t>A200</t>
        </is>
      </c>
      <c r="C310" s="5" t="n">
        <v>45936</v>
      </c>
      <c r="D310" t="n">
        <v>9</v>
      </c>
      <c r="E310" t="n">
        <v>149.58</v>
      </c>
      <c r="F310" t="inlineStr">
        <is>
          <t>AUD</t>
        </is>
      </c>
      <c r="G310" t="n">
        <v>9.5</v>
      </c>
      <c r="H310" t="inlineStr">
        <is>
          <t>AUD</t>
        </is>
      </c>
    </row>
    <row r="311">
      <c r="A311" t="inlineStr">
        <is>
          <t>B310</t>
        </is>
      </c>
      <c r="B311" t="inlineStr">
        <is>
          <t>VGS</t>
        </is>
      </c>
      <c r="C311" s="5" t="n">
        <v>45936</v>
      </c>
      <c r="D311" t="n">
        <v>11</v>
      </c>
      <c r="E311" t="n">
        <v>152</v>
      </c>
      <c r="F311" t="inlineStr">
        <is>
          <t>AUD</t>
        </is>
      </c>
      <c r="G311" t="n">
        <v>9.5</v>
      </c>
      <c r="H311" t="inlineStr">
        <is>
          <t>AUD</t>
        </is>
      </c>
    </row>
    <row r="312">
      <c r="A312" t="inlineStr">
        <is>
          <t>B311</t>
        </is>
      </c>
      <c r="B312" t="inlineStr">
        <is>
          <t>MSFT</t>
        </is>
      </c>
      <c r="C312" s="5" t="n">
        <v>45939</v>
      </c>
      <c r="D312" t="n">
        <v>1</v>
      </c>
      <c r="E312" t="n">
        <v>522.4</v>
      </c>
      <c r="F312" t="inlineStr">
        <is>
          <t>USD</t>
        </is>
      </c>
      <c r="G312" t="n">
        <v>5</v>
      </c>
      <c r="H312" t="inlineStr">
        <is>
          <t>USD</t>
        </is>
      </c>
    </row>
    <row r="313">
      <c r="A313" t="inlineStr">
        <is>
          <t>B312</t>
        </is>
      </c>
      <c r="B313" t="inlineStr">
        <is>
          <t>AAPL</t>
        </is>
      </c>
      <c r="C313" s="5" t="n">
        <v>45946</v>
      </c>
      <c r="D313" t="n">
        <v>1</v>
      </c>
      <c r="E313" t="n">
        <v>247.45</v>
      </c>
      <c r="F313" t="inlineStr">
        <is>
          <t>USD</t>
        </is>
      </c>
      <c r="G313" t="n">
        <v>5</v>
      </c>
      <c r="H313" t="inlineStr">
        <is>
          <t>USD</t>
        </is>
      </c>
    </row>
    <row r="314">
      <c r="A314" t="inlineStr">
        <is>
          <t>B313</t>
        </is>
      </c>
      <c r="B314" t="inlineStr">
        <is>
          <t>A200</t>
        </is>
      </c>
      <c r="C314" s="5" t="n">
        <v>45964</v>
      </c>
      <c r="D314" t="n">
        <v>8</v>
      </c>
      <c r="E314" t="n">
        <v>148.3</v>
      </c>
      <c r="F314" t="inlineStr">
        <is>
          <t>AUD</t>
        </is>
      </c>
      <c r="G314" t="n">
        <v>9.5</v>
      </c>
      <c r="H314" t="inlineStr">
        <is>
          <t>AUD</t>
        </is>
      </c>
    </row>
    <row r="315">
      <c r="A315" t="inlineStr">
        <is>
          <t>B314</t>
        </is>
      </c>
      <c r="B315" t="inlineStr">
        <is>
          <t>VGS</t>
        </is>
      </c>
      <c r="C315" s="5" t="n">
        <v>45964</v>
      </c>
      <c r="D315" t="n">
        <v>9</v>
      </c>
      <c r="E315" t="n">
        <v>154.97</v>
      </c>
      <c r="F315" t="inlineStr">
        <is>
          <t>AUD</t>
        </is>
      </c>
      <c r="G315" t="n">
        <v>9.5</v>
      </c>
      <c r="H315" t="inlineStr">
        <is>
          <t>AUD</t>
        </is>
      </c>
    </row>
    <row r="316">
      <c r="A316" t="inlineStr">
        <is>
          <t>B315</t>
        </is>
      </c>
      <c r="B316" t="inlineStr">
        <is>
          <t>BHP</t>
        </is>
      </c>
      <c r="C316" s="5" t="n">
        <v>45974</v>
      </c>
      <c r="D316" t="n">
        <v>25</v>
      </c>
      <c r="E316" t="n">
        <v>43.33</v>
      </c>
      <c r="F316" t="inlineStr">
        <is>
          <t>AUD</t>
        </is>
      </c>
      <c r="G316" t="n">
        <v>19.95</v>
      </c>
      <c r="H316" t="inlineStr">
        <is>
          <t>AUD</t>
        </is>
      </c>
    </row>
    <row r="317">
      <c r="A317" t="inlineStr">
        <is>
          <t>B316</t>
        </is>
      </c>
      <c r="B317" t="inlineStr">
        <is>
          <t>A200</t>
        </is>
      </c>
      <c r="C317" s="5" t="n">
        <v>45999</v>
      </c>
      <c r="D317" t="n">
        <v>9</v>
      </c>
      <c r="E317" t="n">
        <v>144.32</v>
      </c>
      <c r="F317" t="inlineStr">
        <is>
          <t>AUD</t>
        </is>
      </c>
      <c r="G317" t="n">
        <v>9.5</v>
      </c>
      <c r="H317" t="inlineStr">
        <is>
          <t>AUD</t>
        </is>
      </c>
    </row>
    <row r="318">
      <c r="A318" t="inlineStr">
        <is>
          <t>B317</t>
        </is>
      </c>
      <c r="B318" t="inlineStr">
        <is>
          <t>AMZN</t>
        </is>
      </c>
      <c r="C318" s="5" t="n">
        <v>45999</v>
      </c>
      <c r="D318" t="n">
        <v>2</v>
      </c>
      <c r="E318" t="n">
        <v>226.89</v>
      </c>
      <c r="F318" t="inlineStr">
        <is>
          <t>USD</t>
        </is>
      </c>
      <c r="G318" t="n">
        <v>5</v>
      </c>
      <c r="H318" t="inlineStr">
        <is>
          <t>USD</t>
        </is>
      </c>
    </row>
    <row r="319">
      <c r="A319" t="inlineStr">
        <is>
          <t>B318</t>
        </is>
      </c>
      <c r="B319" t="inlineStr">
        <is>
          <t>VGS</t>
        </is>
      </c>
      <c r="C319" s="5" t="n">
        <v>45999</v>
      </c>
      <c r="D319" t="n">
        <v>10</v>
      </c>
      <c r="E319" t="n">
        <v>154.1</v>
      </c>
      <c r="F319" t="inlineStr">
        <is>
          <t>AUD</t>
        </is>
      </c>
      <c r="G319" t="n">
        <v>9.5</v>
      </c>
      <c r="H319" t="inlineStr">
        <is>
          <t>AUD</t>
        </is>
      </c>
    </row>
    <row r="320">
      <c r="A320" t="inlineStr">
        <is>
          <t>B319</t>
        </is>
      </c>
      <c r="B320" t="inlineStr">
        <is>
          <t>A200</t>
        </is>
      </c>
      <c r="C320" s="5" t="n">
        <v>46027</v>
      </c>
      <c r="D320" t="n">
        <v>9</v>
      </c>
      <c r="E320" t="n">
        <v>145.25</v>
      </c>
      <c r="F320" t="inlineStr">
        <is>
          <t>AUD</t>
        </is>
      </c>
      <c r="G320" t="n">
        <v>9.5</v>
      </c>
      <c r="H320" t="inlineStr">
        <is>
          <t>AUD</t>
        </is>
      </c>
    </row>
    <row r="321">
      <c r="A321" t="inlineStr">
        <is>
          <t>B320</t>
        </is>
      </c>
      <c r="B321" t="inlineStr">
        <is>
          <t>VGS</t>
        </is>
      </c>
      <c r="C321" s="5" t="n">
        <v>46027</v>
      </c>
      <c r="D321" t="n">
        <v>11</v>
      </c>
      <c r="E321" t="n">
        <v>154</v>
      </c>
      <c r="F321" t="inlineStr">
        <is>
          <t>AUD</t>
        </is>
      </c>
      <c r="G321" t="n">
        <v>9.5</v>
      </c>
      <c r="H321" t="inlineStr">
        <is>
          <t>AUD</t>
        </is>
      </c>
    </row>
    <row r="322">
      <c r="A322" t="inlineStr">
        <is>
          <t>B321</t>
        </is>
      </c>
      <c r="B322" t="inlineStr">
        <is>
          <t>MSFT</t>
        </is>
      </c>
      <c r="C322" s="5" t="n">
        <v>46031</v>
      </c>
      <c r="D322" t="n">
        <v>1</v>
      </c>
      <c r="E322" t="n">
        <v>479.28</v>
      </c>
      <c r="F322" t="inlineStr">
        <is>
          <t>USD</t>
        </is>
      </c>
      <c r="G322" t="n">
        <v>5</v>
      </c>
      <c r="H322" t="inlineStr">
        <is>
          <t>USD</t>
        </is>
      </c>
    </row>
    <row r="323">
      <c r="A323" t="inlineStr">
        <is>
          <t>B322</t>
        </is>
      </c>
      <c r="B323" t="inlineStr">
        <is>
          <t>A200</t>
        </is>
      </c>
      <c r="C323" s="5" t="n">
        <v>46055</v>
      </c>
      <c r="D323" t="n">
        <v>6</v>
      </c>
      <c r="E323" t="n">
        <v>146.07</v>
      </c>
      <c r="F323" t="inlineStr">
        <is>
          <t>AUD</t>
        </is>
      </c>
      <c r="G323" t="n">
        <v>9.5</v>
      </c>
      <c r="H323" t="inlineStr">
        <is>
          <t>AUD</t>
        </is>
      </c>
    </row>
    <row r="324">
      <c r="A324" t="inlineStr">
        <is>
          <t>B323</t>
        </is>
      </c>
      <c r="B324" t="inlineStr">
        <is>
          <t>VGS</t>
        </is>
      </c>
      <c r="C324" s="5" t="n">
        <v>46055</v>
      </c>
      <c r="D324" t="n">
        <v>7</v>
      </c>
      <c r="E324" t="n">
        <v>148.84</v>
      </c>
      <c r="F324" t="inlineStr">
        <is>
          <t>AUD</t>
        </is>
      </c>
      <c r="G324" t="n">
        <v>9.5</v>
      </c>
      <c r="H324" t="inlineStr">
        <is>
          <t>AUD</t>
        </is>
      </c>
    </row>
    <row r="325">
      <c r="A325" t="inlineStr">
        <is>
          <t>B324</t>
        </is>
      </c>
      <c r="B325" t="inlineStr">
        <is>
          <t>A200</t>
        </is>
      </c>
      <c r="C325" s="5" t="n">
        <v>46085</v>
      </c>
      <c r="D325" t="n">
        <v>10</v>
      </c>
      <c r="E325" t="n">
        <v>149</v>
      </c>
      <c r="F325" t="inlineStr">
        <is>
          <t>AUD</t>
        </is>
      </c>
      <c r="G325" t="n">
        <v>9.5</v>
      </c>
      <c r="H325" t="inlineStr">
        <is>
          <t>AUD</t>
        </is>
      </c>
    </row>
    <row r="326">
      <c r="A326" t="inlineStr">
        <is>
          <t>B325</t>
        </is>
      </c>
      <c r="B326" t="inlineStr">
        <is>
          <t>VGS</t>
        </is>
      </c>
      <c r="C326" s="5" t="n">
        <v>46085</v>
      </c>
      <c r="D326" t="n">
        <v>13</v>
      </c>
      <c r="E326" t="n">
        <v>145.9</v>
      </c>
      <c r="F326" t="inlineStr">
        <is>
          <t>AUD</t>
        </is>
      </c>
      <c r="G326" t="n">
        <v>9.5</v>
      </c>
      <c r="H326" t="inlineStr">
        <is>
          <t>AUD</t>
        </is>
      </c>
    </row>
    <row r="327">
      <c r="A327" t="inlineStr">
        <is>
          <t>B326</t>
        </is>
      </c>
      <c r="B327" t="inlineStr">
        <is>
          <t>A200</t>
        </is>
      </c>
      <c r="C327" s="5" t="n">
        <v>46119</v>
      </c>
      <c r="D327" t="n">
        <v>4</v>
      </c>
      <c r="E327" t="n">
        <v>145.62</v>
      </c>
      <c r="F327" t="inlineStr">
        <is>
          <t>AUD</t>
        </is>
      </c>
      <c r="G327" t="n">
        <v>9.5</v>
      </c>
      <c r="H327" t="inlineStr">
        <is>
          <t>AUD</t>
        </is>
      </c>
    </row>
    <row r="328">
      <c r="A328" t="inlineStr">
        <is>
          <t>B327</t>
        </is>
      </c>
      <c r="B328" t="inlineStr">
        <is>
          <t>VGS</t>
        </is>
      </c>
      <c r="C328" s="5" t="n">
        <v>46119</v>
      </c>
      <c r="D328" t="n">
        <v>6</v>
      </c>
      <c r="E328" t="n">
        <v>143.75</v>
      </c>
      <c r="F328" t="inlineStr">
        <is>
          <t>AUD</t>
        </is>
      </c>
      <c r="G328" t="n">
        <v>9.5</v>
      </c>
      <c r="H328" t="inlineStr">
        <is>
          <t>AUD</t>
        </is>
      </c>
    </row>
    <row r="329">
      <c r="A329" t="inlineStr">
        <is>
          <t>B328</t>
        </is>
      </c>
      <c r="B329" t="inlineStr">
        <is>
          <t>AAPL</t>
        </is>
      </c>
      <c r="C329" s="5" t="n">
        <v>46132</v>
      </c>
      <c r="D329" t="n">
        <v>2</v>
      </c>
      <c r="E329" t="n">
        <v>273.05</v>
      </c>
      <c r="F329" t="inlineStr">
        <is>
          <t>USD</t>
        </is>
      </c>
      <c r="G329" t="n">
        <v>5</v>
      </c>
      <c r="H329" t="inlineStr">
        <is>
          <t>USD</t>
        </is>
      </c>
    </row>
    <row r="330">
      <c r="A330" t="inlineStr">
        <is>
          <t>B329</t>
        </is>
      </c>
      <c r="B330" t="inlineStr">
        <is>
          <t>AAPL</t>
        </is>
      </c>
      <c r="C330" s="5" t="n">
        <v>46139</v>
      </c>
      <c r="D330" t="n">
        <v>1</v>
      </c>
      <c r="E330" t="n">
        <v>267.61</v>
      </c>
      <c r="F330" t="inlineStr">
        <is>
          <t>USD</t>
        </is>
      </c>
      <c r="G330" t="n">
        <v>5</v>
      </c>
      <c r="H330" t="inlineStr">
        <is>
          <t>USD</t>
        </is>
      </c>
    </row>
    <row r="331">
      <c r="A331" t="inlineStr">
        <is>
          <t>B330</t>
        </is>
      </c>
      <c r="B331" t="inlineStr">
        <is>
          <t>A200</t>
        </is>
      </c>
      <c r="C331" s="5" t="n">
        <v>46146</v>
      </c>
      <c r="D331" t="n">
        <v>9</v>
      </c>
      <c r="E331" t="n">
        <v>145.3</v>
      </c>
      <c r="F331" t="inlineStr">
        <is>
          <t>AUD</t>
        </is>
      </c>
      <c r="G331" t="n">
        <v>9.5</v>
      </c>
      <c r="H331" t="inlineStr">
        <is>
          <t>AUD</t>
        </is>
      </c>
    </row>
    <row r="332">
      <c r="A332" t="inlineStr">
        <is>
          <t>B331</t>
        </is>
      </c>
      <c r="B332" t="inlineStr">
        <is>
          <t>VGS</t>
        </is>
      </c>
      <c r="C332" s="5" t="n">
        <v>46146</v>
      </c>
      <c r="D332" t="n">
        <v>11</v>
      </c>
      <c r="E332" t="n">
        <v>149.91</v>
      </c>
      <c r="F332" t="inlineStr">
        <is>
          <t>AUD</t>
        </is>
      </c>
      <c r="G332" t="n">
        <v>9.5</v>
      </c>
      <c r="H332" t="inlineStr">
        <is>
          <t>AUD</t>
        </is>
      </c>
    </row>
    <row r="333">
      <c r="A333" t="inlineStr">
        <is>
          <t>B332</t>
        </is>
      </c>
      <c r="B333" t="inlineStr">
        <is>
          <t>A200</t>
        </is>
      </c>
      <c r="C333" s="5" t="n">
        <v>46182</v>
      </c>
      <c r="D333" t="n">
        <v>10</v>
      </c>
      <c r="E333" t="n">
        <v>144.36</v>
      </c>
      <c r="F333" t="inlineStr">
        <is>
          <t>AUD</t>
        </is>
      </c>
      <c r="G333" t="n">
        <v>9.5</v>
      </c>
      <c r="H333" t="inlineStr">
        <is>
          <t>AUD</t>
        </is>
      </c>
    </row>
    <row r="334">
      <c r="A334" t="inlineStr">
        <is>
          <t>B333</t>
        </is>
      </c>
      <c r="B334" t="inlineStr">
        <is>
          <t>VGS</t>
        </is>
      </c>
      <c r="C334" s="5" t="n">
        <v>46182</v>
      </c>
      <c r="D334" t="n">
        <v>11</v>
      </c>
      <c r="E334" t="n">
        <v>156.37</v>
      </c>
      <c r="F334" t="inlineStr">
        <is>
          <t>AUD</t>
        </is>
      </c>
      <c r="G334" t="n">
        <v>9.5</v>
      </c>
      <c r="H334" t="inlineStr">
        <is>
          <t>AUD</t>
        </is>
      </c>
    </row>
    <row r="335">
      <c r="A335" t="inlineStr">
        <is>
          <t>B334</t>
        </is>
      </c>
      <c r="B335" t="inlineStr">
        <is>
          <t>AMZN</t>
        </is>
      </c>
      <c r="C335" s="5" t="n">
        <v>46205</v>
      </c>
      <c r="D335" t="n">
        <v>2</v>
      </c>
      <c r="E335" t="n">
        <v>242.67</v>
      </c>
      <c r="F335" t="inlineStr">
        <is>
          <t>USD</t>
        </is>
      </c>
      <c r="G335" t="n">
        <v>5</v>
      </c>
      <c r="H335" t="inlineStr">
        <is>
          <t>USD</t>
        </is>
      </c>
    </row>
    <row r="336">
      <c r="A336" t="inlineStr">
        <is>
          <t>B335</t>
        </is>
      </c>
      <c r="B336" t="inlineStr">
        <is>
          <t>A200</t>
        </is>
      </c>
      <c r="C336" s="5" t="n">
        <v>46209</v>
      </c>
      <c r="D336" t="n">
        <v>9</v>
      </c>
      <c r="E336" t="n">
        <v>147.21</v>
      </c>
      <c r="F336" t="inlineStr">
        <is>
          <t>AUD</t>
        </is>
      </c>
      <c r="G336" t="n">
        <v>9.5</v>
      </c>
      <c r="H336" t="inlineStr">
        <is>
          <t>AUD</t>
        </is>
      </c>
    </row>
    <row r="337">
      <c r="A337" t="inlineStr">
        <is>
          <t>B336</t>
        </is>
      </c>
      <c r="B337" t="inlineStr">
        <is>
          <t>AMZN</t>
        </is>
      </c>
      <c r="C337" s="5" t="n">
        <v>46209</v>
      </c>
      <c r="D337" t="n">
        <v>2</v>
      </c>
      <c r="E337" t="n">
        <v>244.16</v>
      </c>
      <c r="F337" t="inlineStr">
        <is>
          <t>USD</t>
        </is>
      </c>
      <c r="G337" t="n">
        <v>5</v>
      </c>
      <c r="H337" t="inlineStr">
        <is>
          <t>USD</t>
        </is>
      </c>
    </row>
    <row r="338">
      <c r="A338" t="inlineStr">
        <is>
          <t>B337</t>
        </is>
      </c>
      <c r="B338" t="inlineStr">
        <is>
          <t>MSFT</t>
        </is>
      </c>
      <c r="C338" s="5" t="n">
        <v>46209</v>
      </c>
      <c r="D338" t="n">
        <v>2</v>
      </c>
      <c r="E338" t="n">
        <v>386.74</v>
      </c>
      <c r="F338" t="inlineStr">
        <is>
          <t>USD</t>
        </is>
      </c>
      <c r="G338" t="n">
        <v>5</v>
      </c>
      <c r="H338" t="inlineStr">
        <is>
          <t>USD</t>
        </is>
      </c>
    </row>
    <row r="339">
      <c r="A339" t="inlineStr">
        <is>
          <t>B338</t>
        </is>
      </c>
      <c r="B339" t="inlineStr">
        <is>
          <t>VGS</t>
        </is>
      </c>
      <c r="C339" s="5" t="n">
        <v>46209</v>
      </c>
      <c r="D339" t="n">
        <v>10</v>
      </c>
      <c r="E339" t="n">
        <v>161.26</v>
      </c>
      <c r="F339" t="inlineStr">
        <is>
          <t>AUD</t>
        </is>
      </c>
      <c r="G339" t="n">
        <v>9.5</v>
      </c>
      <c r="H339" t="inlineStr">
        <is>
          <t>AUD</t>
        </is>
      </c>
    </row>
    <row r="340">
      <c r="A340" t="inlineStr">
        <is>
          <t>B339</t>
        </is>
      </c>
      <c r="B340" t="inlineStr">
        <is>
          <t>AMZN</t>
        </is>
      </c>
      <c r="C340" s="5" t="n">
        <v>46223</v>
      </c>
      <c r="D340" t="n">
        <v>2</v>
      </c>
      <c r="E340" t="n">
        <v>249.99</v>
      </c>
      <c r="F340" t="inlineStr">
        <is>
          <t>USD</t>
        </is>
      </c>
      <c r="G340" t="n">
        <v>5</v>
      </c>
      <c r="H340" t="inlineStr">
        <is>
          <t>USD</t>
        </is>
      </c>
    </row>
    <row r="341">
      <c r="A341" t="inlineStr">
        <is>
          <t>B340</t>
        </is>
      </c>
      <c r="B341" t="inlineStr">
        <is>
          <t>A200</t>
        </is>
      </c>
      <c r="C341" s="5" t="n">
        <v>46237</v>
      </c>
      <c r="D341" t="n">
        <v>8</v>
      </c>
      <c r="E341" t="n">
        <v>150.42</v>
      </c>
      <c r="F341" t="inlineStr">
        <is>
          <t>AUD</t>
        </is>
      </c>
      <c r="G341" t="n">
        <v>9.5</v>
      </c>
      <c r="H341" t="inlineStr">
        <is>
          <t>AUD</t>
        </is>
      </c>
    </row>
    <row r="342">
      <c r="A342" t="inlineStr">
        <is>
          <t>B341</t>
        </is>
      </c>
      <c r="B342" t="inlineStr">
        <is>
          <t>AMZN</t>
        </is>
      </c>
      <c r="C342" s="5" t="n">
        <v>46237</v>
      </c>
      <c r="D342" t="n">
        <v>3</v>
      </c>
      <c r="E342" t="n">
        <v>284.02</v>
      </c>
      <c r="F342" t="inlineStr">
        <is>
          <t>USD</t>
        </is>
      </c>
      <c r="G342" t="n">
        <v>5</v>
      </c>
      <c r="H342" t="inlineStr">
        <is>
          <t>USD</t>
        </is>
      </c>
    </row>
    <row r="343">
      <c r="A343" t="inlineStr">
        <is>
          <t>B342</t>
        </is>
      </c>
      <c r="B343" t="inlineStr">
        <is>
          <t>VGS</t>
        </is>
      </c>
      <c r="C343" s="5" t="n">
        <v>46237</v>
      </c>
      <c r="D343" t="n">
        <v>9</v>
      </c>
      <c r="E343" t="n">
        <v>159.83</v>
      </c>
      <c r="F343" t="inlineStr">
        <is>
          <t>AUD</t>
        </is>
      </c>
      <c r="G343" t="n">
        <v>9.5</v>
      </c>
      <c r="H343" t="inlineStr">
        <is>
          <t>AUD</t>
        </is>
      </c>
    </row>
    <row r="344">
      <c r="A344" t="inlineStr">
        <is>
          <t>B343</t>
        </is>
      </c>
      <c r="B344" t="inlineStr">
        <is>
          <t>MSFT</t>
        </is>
      </c>
      <c r="C344" s="5" t="n">
        <v>46244</v>
      </c>
      <c r="D344" t="n">
        <v>2</v>
      </c>
      <c r="E344" t="n">
        <v>506.06</v>
      </c>
      <c r="F344" t="inlineStr">
        <is>
          <t>USD</t>
        </is>
      </c>
      <c r="G344" t="n">
        <v>5</v>
      </c>
      <c r="H344" t="inlineStr">
        <is>
          <t>USD</t>
        </is>
      </c>
    </row>
    <row r="345">
      <c r="A345" t="inlineStr">
        <is>
          <t>B344</t>
        </is>
      </c>
      <c r="B345" t="inlineStr">
        <is>
          <t>AAPL</t>
        </is>
      </c>
      <c r="C345" s="5" t="n">
        <v>46265</v>
      </c>
      <c r="D345" t="n">
        <v>1</v>
      </c>
      <c r="E345" t="n">
        <v>316.85</v>
      </c>
      <c r="F345" t="inlineStr">
        <is>
          <t>USD</t>
        </is>
      </c>
      <c r="G345" t="n">
        <v>5</v>
      </c>
      <c r="H345" t="inlineStr">
        <is>
          <t>USD</t>
        </is>
      </c>
    </row>
    <row r="346">
      <c r="A346" t="inlineStr">
        <is>
          <t>B345</t>
        </is>
      </c>
      <c r="B346" t="inlineStr">
        <is>
          <t>A200</t>
        </is>
      </c>
      <c r="C346" s="5" t="n">
        <v>46267</v>
      </c>
      <c r="D346" t="n">
        <v>11</v>
      </c>
      <c r="E346" t="n">
        <v>150.59</v>
      </c>
      <c r="F346" t="inlineStr">
        <is>
          <t>AUD</t>
        </is>
      </c>
      <c r="G346" t="n">
        <v>9.5</v>
      </c>
      <c r="H346" t="inlineStr">
        <is>
          <t>AUD</t>
        </is>
      </c>
    </row>
    <row r="347">
      <c r="A347" t="inlineStr">
        <is>
          <t>B346</t>
        </is>
      </c>
      <c r="B347" t="inlineStr">
        <is>
          <t>VGS</t>
        </is>
      </c>
      <c r="C347" s="5" t="n">
        <v>46267</v>
      </c>
      <c r="D347" t="n">
        <v>12</v>
      </c>
      <c r="E347" t="n">
        <v>158.89</v>
      </c>
      <c r="F347" t="inlineStr">
        <is>
          <t>AUD</t>
        </is>
      </c>
      <c r="G347" t="n">
        <v>9.5</v>
      </c>
      <c r="H347" t="inlineStr">
        <is>
          <t>AUD</t>
        </is>
      </c>
    </row>
    <row r="348">
      <c r="A348" t="inlineStr">
        <is>
          <t>B347</t>
        </is>
      </c>
      <c r="B348" t="inlineStr">
        <is>
          <t>MSFT</t>
        </is>
      </c>
      <c r="C348" s="5" t="n">
        <v>46273</v>
      </c>
      <c r="D348" t="n">
        <v>2</v>
      </c>
      <c r="E348" t="n">
        <v>493.95</v>
      </c>
      <c r="F348" t="inlineStr">
        <is>
          <t>USD</t>
        </is>
      </c>
      <c r="G348" t="n">
        <v>5</v>
      </c>
      <c r="H348" t="inlineStr">
        <is>
          <t>USD</t>
        </is>
      </c>
    </row>
  </sheetData>
  <dataValidations count="2">
    <dataValidation sqref="F2:F848" showDropDown="0" showInputMessage="0" showErrorMessage="1" allowBlank="1" errorTitle="Not an allowed value" error="Pick a value for unit_price_currency from the list." type="list">
      <formula1>'ValueAssistance'!$B$2:$B$308</formula1>
    </dataValidation>
    <dataValidation sqref="H2:H848" showDropDown="0" showInputMessage="0" showErrorMessage="1" allowBlank="1" errorTitle="Not an allowed value" error="Pick a value for total_brokerage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1.2" customWidth="1" min="1" max="1"/>
    <col width="18.2" customWidth="1" min="2" max="2"/>
    <col width="12.2" customWidth="1" min="3" max="3"/>
    <col width="10.2" customWidth="1" min="4" max="4"/>
    <col width="12.2" customWidth="1" min="5" max="5"/>
    <col width="21.2" customWidth="1" min="6" max="6"/>
    <col width="17.2" customWidth="1" min="7" max="7"/>
    <col width="26.2" customWidth="1" min="8" max="8"/>
    <col width="35.2" customWidth="1" min="9" max="9"/>
    <col width="10.2" customWidth="1" min="10" max="10"/>
    <col width="82.2" customWidth="1" min="11" max="11"/>
  </cols>
  <sheetData>
    <row r="1" ht="32" customHeight="1">
      <c r="A1" s="1" t="inlineStr">
        <is>
          <t>legacy_id</t>
        </is>
      </c>
      <c r="B1" s="1" t="inlineStr">
        <is>
          <t>instrument__name</t>
        </is>
      </c>
      <c r="C1" s="1" t="inlineStr">
        <is>
          <t>date</t>
        </is>
      </c>
      <c r="D1" s="1" t="inlineStr">
        <is>
          <t>quantity</t>
        </is>
      </c>
      <c r="E1" s="1" t="inlineStr">
        <is>
          <t>unit_price</t>
        </is>
      </c>
      <c r="F1" s="1" t="inlineStr">
        <is>
          <t>unit_price_currency</t>
        </is>
      </c>
      <c r="G1" s="1" t="inlineStr">
        <is>
          <t>total_brokerage</t>
        </is>
      </c>
      <c r="H1" s="1" t="inlineStr">
        <is>
          <t>total_brokerage_currency</t>
        </is>
      </c>
      <c r="I1" s="1" t="inlineStr">
        <is>
          <t>file</t>
        </is>
      </c>
      <c r="J1" s="1" t="inlineStr">
        <is>
          <t>strategy</t>
        </is>
      </c>
      <c r="K1" s="1" t="inlineStr">
        <is>
          <t>notes</t>
        </is>
      </c>
    </row>
    <row r="2">
      <c r="A2" t="inlineStr">
        <is>
          <t>S001</t>
        </is>
      </c>
      <c r="B2" t="inlineStr">
        <is>
          <t>VAS</t>
        </is>
      </c>
      <c r="C2" s="5" t="n">
        <v>43538</v>
      </c>
      <c r="D2" t="n">
        <v>197</v>
      </c>
      <c r="E2" t="n">
        <v>79.09999999999999</v>
      </c>
      <c r="F2" t="inlineStr">
        <is>
          <t>AUD</t>
        </is>
      </c>
      <c r="G2" t="n">
        <v>9.5</v>
      </c>
      <c r="H2" t="inlineStr">
        <is>
          <t>AUD</t>
        </is>
      </c>
      <c r="I2" t="inlineStr">
        <is>
          <t>C:\full_path_to_file\sell-001.pdf</t>
        </is>
      </c>
      <c r="J2" t="inlineStr">
        <is>
          <t>FIFO</t>
        </is>
      </c>
      <c r="K2" t="inlineStr">
        <is>
          <t>FAKE DATA - generated for demonstration, not a real portfolio</t>
        </is>
      </c>
    </row>
    <row r="3">
      <c r="A3" t="inlineStr">
        <is>
          <t>S002</t>
        </is>
      </c>
      <c r="B3" t="inlineStr">
        <is>
          <t>VAS</t>
        </is>
      </c>
      <c r="C3" s="5" t="n">
        <v>43697</v>
      </c>
      <c r="D3" t="n">
        <v>131</v>
      </c>
      <c r="E3" t="n">
        <v>83.23</v>
      </c>
      <c r="F3" t="inlineStr">
        <is>
          <t>AUD</t>
        </is>
      </c>
      <c r="G3" t="n">
        <v>9.5</v>
      </c>
      <c r="H3" t="inlineStr">
        <is>
          <t>AUD</t>
        </is>
      </c>
      <c r="J3" t="inlineStr">
        <is>
          <t>FIFO</t>
        </is>
      </c>
    </row>
    <row r="4">
      <c r="A4" t="inlineStr">
        <is>
          <t>S003</t>
        </is>
      </c>
      <c r="B4" t="inlineStr">
        <is>
          <t>TLS</t>
        </is>
      </c>
      <c r="C4" s="5" t="n">
        <v>43753</v>
      </c>
      <c r="D4" t="n">
        <v>809</v>
      </c>
      <c r="E4" t="n">
        <v>3.54</v>
      </c>
      <c r="F4" t="inlineStr">
        <is>
          <t>AUD</t>
        </is>
      </c>
      <c r="G4" t="n">
        <v>9.5</v>
      </c>
      <c r="H4" t="inlineStr">
        <is>
          <t>AUD</t>
        </is>
      </c>
      <c r="J4" t="inlineStr">
        <is>
          <t>FIFO</t>
        </is>
      </c>
    </row>
    <row r="5">
      <c r="A5" t="inlineStr">
        <is>
          <t>S004</t>
        </is>
      </c>
      <c r="B5" t="inlineStr">
        <is>
          <t>WES</t>
        </is>
      </c>
      <c r="C5" s="5" t="n">
        <v>44642</v>
      </c>
      <c r="D5" t="n">
        <v>65</v>
      </c>
      <c r="E5" t="n">
        <v>50.4</v>
      </c>
      <c r="F5" t="inlineStr">
        <is>
          <t>AUD</t>
        </is>
      </c>
      <c r="G5" t="n">
        <v>9.5</v>
      </c>
      <c r="H5" t="inlineStr">
        <is>
          <t>AUD</t>
        </is>
      </c>
      <c r="J5" t="inlineStr">
        <is>
          <t>MANUAL</t>
        </is>
      </c>
      <c r="K5" s="3" t="inlineStr">
        <is>
          <t>Strategy is MANUAL, so the SellAllocation table must be populated with the parcels this sale consumes.</t>
        </is>
      </c>
    </row>
    <row r="6">
      <c r="A6" t="inlineStr">
        <is>
          <t>S005</t>
        </is>
      </c>
      <c r="B6" t="inlineStr">
        <is>
          <t>MSFT</t>
        </is>
      </c>
      <c r="C6" s="5" t="n">
        <v>45608</v>
      </c>
      <c r="D6" t="n">
        <v>31</v>
      </c>
      <c r="E6" t="n">
        <v>423.03</v>
      </c>
      <c r="F6" t="inlineStr">
        <is>
          <t>USD</t>
        </is>
      </c>
      <c r="G6" t="n">
        <v>5</v>
      </c>
      <c r="H6" t="inlineStr">
        <is>
          <t>USD</t>
        </is>
      </c>
      <c r="J6" t="inlineStr">
        <is>
          <t>MIN_CGT</t>
        </is>
      </c>
    </row>
  </sheetData>
  <dataValidations count="3">
    <dataValidation sqref="F2:F506" showDropDown="0" showInputMessage="0" showErrorMessage="1" allowBlank="1" errorTitle="Not an allowed value" error="Pick a value for unit_price_currency from the list." type="list">
      <formula1>'ValueAssistance'!$B$2:$B$308</formula1>
    </dataValidation>
    <dataValidation sqref="H2:H506" showDropDown="0" showInputMessage="0" showErrorMessage="1" allowBlank="1" errorTitle="Not an allowed value" error="Pick a value for total_brokerage_currency from the list." type="list">
      <formula1>'ValueAssistance'!$B$2:$B$308</formula1>
    </dataValidation>
    <dataValidation sqref="J2:J506" showDropDown="0" showInputMessage="0" showErrorMessage="1" allowBlank="1" errorTitle="Not an allowed value" error="Pick a value for strategy from the list." type="list">
      <formula1>'ValueAssistance'!$E$2:$E$5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3.2" customWidth="1" min="1" max="1"/>
    <col width="10.2" customWidth="1" min="2" max="2"/>
    <col width="20.2" customWidth="1" min="3" max="3"/>
    <col width="19.2" customWidth="1" min="4" max="4"/>
    <col width="82.2" customWidth="1" min="5" max="5"/>
  </cols>
  <sheetData>
    <row r="1" ht="32" customHeight="1">
      <c r="A1" s="1" t="inlineStr">
        <is>
          <t>legacy_id</t>
        </is>
      </c>
      <c r="B1" s="1" t="inlineStr">
        <is>
          <t>quantity</t>
        </is>
      </c>
      <c r="C1" s="1" t="inlineStr">
        <is>
          <t>lookup_legacy_sell</t>
        </is>
      </c>
      <c r="D1" s="1" t="inlineStr">
        <is>
          <t>lookup_legacy_buy</t>
        </is>
      </c>
      <c r="E1" s="1" t="inlineStr">
        <is>
          <t>notes</t>
        </is>
      </c>
    </row>
    <row r="2">
      <c r="A2" t="inlineStr">
        <is>
          <t>S004 - B073</t>
        </is>
      </c>
      <c r="B2" t="n">
        <v>14</v>
      </c>
      <c r="C2" t="inlineStr">
        <is>
          <t>S004</t>
        </is>
      </c>
      <c r="D2" t="inlineStr">
        <is>
          <t>B073</t>
        </is>
      </c>
      <c r="E2" s="3" t="inlineStr">
        <is>
          <t>FAKE DATA - generated for demonstration, not a real portfolio. lookup_legacy_sell and lookup_legacy_buy must match the legacy_id of the Sell and Buy rows.</t>
        </is>
      </c>
    </row>
    <row r="3">
      <c r="A3" t="inlineStr">
        <is>
          <t>S004 - B091</t>
        </is>
      </c>
      <c r="B3" t="n">
        <v>23</v>
      </c>
      <c r="C3" t="inlineStr">
        <is>
          <t>S004</t>
        </is>
      </c>
      <c r="D3" t="inlineStr">
        <is>
          <t>B091</t>
        </is>
      </c>
    </row>
    <row r="4">
      <c r="A4" t="inlineStr">
        <is>
          <t>S004 - B120</t>
        </is>
      </c>
      <c r="B4" t="n">
        <v>28</v>
      </c>
      <c r="C4" t="inlineStr">
        <is>
          <t>S004</t>
        </is>
      </c>
      <c r="D4" t="inlineStr">
        <is>
          <t>B120</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1.2" customWidth="1" min="1" max="1"/>
    <col width="17.2" customWidth="1" min="2" max="2"/>
    <col width="18.2" customWidth="1" min="3" max="3"/>
    <col width="17.2" customWidth="1" min="4" max="4"/>
    <col width="16.2" customWidth="1" min="5" max="5"/>
    <col width="12.2" customWidth="1" min="6" max="6"/>
    <col width="6.2" customWidth="1" min="7" max="7"/>
    <col width="63.2" customWidth="1" min="8" max="8"/>
  </cols>
  <sheetData>
    <row r="1" ht="32" customHeight="1">
      <c r="A1" s="1" t="inlineStr">
        <is>
          <t>legacy_id</t>
        </is>
      </c>
      <c r="B1" s="1" t="inlineStr">
        <is>
          <t>description</t>
        </is>
      </c>
      <c r="C1" s="1" t="inlineStr">
        <is>
          <t>instrument__name</t>
        </is>
      </c>
      <c r="D1" s="1" t="inlineStr">
        <is>
          <t>quantity_before</t>
        </is>
      </c>
      <c r="E1" s="1" t="inlineStr">
        <is>
          <t>quantity_after</t>
        </is>
      </c>
      <c r="F1" s="1" t="inlineStr">
        <is>
          <t>date</t>
        </is>
      </c>
      <c r="G1" s="1" t="inlineStr">
        <is>
          <t>file</t>
        </is>
      </c>
      <c r="H1" s="1" t="inlineStr">
        <is>
          <t>notes</t>
        </is>
      </c>
    </row>
    <row r="2">
      <c r="A2" t="inlineStr">
        <is>
          <t>SP1</t>
        </is>
      </c>
      <c r="B2" t="inlineStr">
        <is>
          <t>AAPL 1:4 split</t>
        </is>
      </c>
      <c r="C2" t="inlineStr">
        <is>
          <t>AAPL</t>
        </is>
      </c>
      <c r="D2" t="n">
        <v>1</v>
      </c>
      <c r="E2" t="n">
        <v>4</v>
      </c>
      <c r="F2" s="5" t="n">
        <v>44074</v>
      </c>
      <c r="H2" t="inlineStr">
        <is>
          <t>FAKE DATA - generated for demonstration, not a real portfolio</t>
        </is>
      </c>
    </row>
    <row r="3">
      <c r="A3" t="inlineStr">
        <is>
          <t>SP2</t>
        </is>
      </c>
      <c r="B3" t="inlineStr">
        <is>
          <t>AMZN 1:20 split</t>
        </is>
      </c>
      <c r="C3" t="inlineStr">
        <is>
          <t>AMZN</t>
        </is>
      </c>
      <c r="D3" t="n">
        <v>1</v>
      </c>
      <c r="E3" t="n">
        <v>20</v>
      </c>
      <c r="F3" s="5" t="n">
        <v>44718</v>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20.2" customWidth="1" min="3" max="3"/>
    <col width="29.2" customWidth="1" min="4" max="4"/>
    <col width="18.2" customWidth="1" min="5" max="5"/>
    <col width="25.2" customWidth="1" min="6" max="6"/>
    <col width="6.2" customWidth="1" min="7" max="7"/>
    <col width="19.2" customWidth="1" min="8" max="8"/>
    <col width="63.2" customWidth="1" min="9" max="9"/>
  </cols>
  <sheetData>
    <row r="1" ht="32" customHeight="1">
      <c r="A1" s="1" t="inlineStr">
        <is>
          <t>legacy_id</t>
        </is>
      </c>
      <c r="B1" s="1" t="inlineStr">
        <is>
          <t>description</t>
        </is>
      </c>
      <c r="C1" s="1" t="inlineStr">
        <is>
          <t>cost_base_increase</t>
        </is>
      </c>
      <c r="D1" s="1" t="inlineStr">
        <is>
          <t>cost_base_increase_currency</t>
        </is>
      </c>
      <c r="E1" s="1" t="inlineStr">
        <is>
          <t>instrument__name</t>
        </is>
      </c>
      <c r="F1" s="1" t="inlineStr">
        <is>
          <t>financial_year_end_date</t>
        </is>
      </c>
      <c r="G1" s="1" t="inlineStr">
        <is>
          <t>file</t>
        </is>
      </c>
      <c r="H1" s="1" t="inlineStr">
        <is>
          <t>allocation_method</t>
        </is>
      </c>
      <c r="I1" s="1" t="inlineStr">
        <is>
          <t>notes</t>
        </is>
      </c>
    </row>
    <row r="2">
      <c r="A2" t="inlineStr">
        <is>
          <t>A001</t>
        </is>
      </c>
      <c r="C2" t="n">
        <v>2.7</v>
      </c>
      <c r="D2" t="inlineStr">
        <is>
          <t>AUD</t>
        </is>
      </c>
      <c r="E2" t="inlineStr">
        <is>
          <t>VAS</t>
        </is>
      </c>
      <c r="F2" s="5" t="n">
        <v>42916</v>
      </c>
      <c r="H2" t="inlineStr">
        <is>
          <t>QTY_HELD</t>
        </is>
      </c>
      <c r="I2" t="inlineStr">
        <is>
          <t>FAKE DATA - generated for demonstration, not a real portfolio</t>
        </is>
      </c>
    </row>
    <row r="3">
      <c r="A3" t="inlineStr">
        <is>
          <t>A002</t>
        </is>
      </c>
      <c r="C3" t="n">
        <v>7.49</v>
      </c>
      <c r="D3" t="inlineStr">
        <is>
          <t>AUD</t>
        </is>
      </c>
      <c r="E3" t="inlineStr">
        <is>
          <t>VGS</t>
        </is>
      </c>
      <c r="F3" s="5" t="n">
        <v>42916</v>
      </c>
      <c r="H3" t="inlineStr">
        <is>
          <t>QTY_HELD</t>
        </is>
      </c>
    </row>
    <row r="4">
      <c r="A4" t="inlineStr">
        <is>
          <t>A003</t>
        </is>
      </c>
      <c r="C4" t="n">
        <v>-67.83</v>
      </c>
      <c r="D4" t="inlineStr">
        <is>
          <t>AUD</t>
        </is>
      </c>
      <c r="E4" t="inlineStr">
        <is>
          <t>VAS</t>
        </is>
      </c>
      <c r="F4" s="5" t="n">
        <v>43281</v>
      </c>
      <c r="H4" t="inlineStr">
        <is>
          <t>QTY_HELD</t>
        </is>
      </c>
    </row>
    <row r="5">
      <c r="A5" t="inlineStr">
        <is>
          <t>A004</t>
        </is>
      </c>
      <c r="C5" t="n">
        <v>-60.31</v>
      </c>
      <c r="D5" t="inlineStr">
        <is>
          <t>AUD</t>
        </is>
      </c>
      <c r="E5" t="inlineStr">
        <is>
          <t>VGS</t>
        </is>
      </c>
      <c r="F5" s="5" t="n">
        <v>43281</v>
      </c>
      <c r="H5" t="inlineStr">
        <is>
          <t>QTY_HELD</t>
        </is>
      </c>
    </row>
    <row r="6">
      <c r="A6" t="inlineStr">
        <is>
          <t>A005</t>
        </is>
      </c>
      <c r="C6" t="n">
        <v>14.66</v>
      </c>
      <c r="D6" t="inlineStr">
        <is>
          <t>AUD</t>
        </is>
      </c>
      <c r="E6" t="inlineStr">
        <is>
          <t>A200</t>
        </is>
      </c>
      <c r="F6" s="5" t="n">
        <v>43646</v>
      </c>
      <c r="H6" t="inlineStr">
        <is>
          <t>QTY_HELD</t>
        </is>
      </c>
    </row>
    <row r="7">
      <c r="A7" t="inlineStr">
        <is>
          <t>A006</t>
        </is>
      </c>
      <c r="C7" t="n">
        <v>54.17</v>
      </c>
      <c r="D7" t="inlineStr">
        <is>
          <t>AUD</t>
        </is>
      </c>
      <c r="E7" t="inlineStr">
        <is>
          <t>VAS</t>
        </is>
      </c>
      <c r="F7" s="5" t="n">
        <v>43646</v>
      </c>
      <c r="H7" t="inlineStr">
        <is>
          <t>QTY_HELD</t>
        </is>
      </c>
    </row>
    <row r="8">
      <c r="A8" t="inlineStr">
        <is>
          <t>A007</t>
        </is>
      </c>
      <c r="C8" t="n">
        <v>46.66</v>
      </c>
      <c r="D8" t="inlineStr">
        <is>
          <t>AUD</t>
        </is>
      </c>
      <c r="E8" t="inlineStr">
        <is>
          <t>VGS</t>
        </is>
      </c>
      <c r="F8" s="5" t="n">
        <v>43646</v>
      </c>
      <c r="H8" t="inlineStr">
        <is>
          <t>QTY_HELD</t>
        </is>
      </c>
    </row>
    <row r="9">
      <c r="A9" t="inlineStr">
        <is>
          <t>A008</t>
        </is>
      </c>
      <c r="C9" t="n">
        <v>54.14</v>
      </c>
      <c r="D9" t="inlineStr">
        <is>
          <t>AUD</t>
        </is>
      </c>
      <c r="E9" t="inlineStr">
        <is>
          <t>A200</t>
        </is>
      </c>
      <c r="F9" s="5" t="n">
        <v>44012</v>
      </c>
      <c r="H9" t="inlineStr">
        <is>
          <t>QTY_HELD</t>
        </is>
      </c>
    </row>
    <row r="10">
      <c r="A10" t="inlineStr">
        <is>
          <t>A009</t>
        </is>
      </c>
      <c r="C10" t="n">
        <v>167.97</v>
      </c>
      <c r="D10" t="inlineStr">
        <is>
          <t>AUD</t>
        </is>
      </c>
      <c r="E10" t="inlineStr">
        <is>
          <t>VGS</t>
        </is>
      </c>
      <c r="F10" s="5" t="n">
        <v>44012</v>
      </c>
      <c r="H10" t="inlineStr">
        <is>
          <t>QTY_HELD</t>
        </is>
      </c>
    </row>
    <row r="11">
      <c r="A11" t="inlineStr">
        <is>
          <t>A010</t>
        </is>
      </c>
      <c r="C11" t="n">
        <v>48.94</v>
      </c>
      <c r="D11" t="inlineStr">
        <is>
          <t>AUD</t>
        </is>
      </c>
      <c r="E11" t="inlineStr">
        <is>
          <t>A200</t>
        </is>
      </c>
      <c r="F11" s="5" t="n">
        <v>44377</v>
      </c>
      <c r="H11" t="inlineStr">
        <is>
          <t>QTY_HELD</t>
        </is>
      </c>
    </row>
    <row r="12">
      <c r="A12" t="inlineStr">
        <is>
          <t>A011</t>
        </is>
      </c>
      <c r="C12" t="n">
        <v>99.95999999999999</v>
      </c>
      <c r="D12" t="inlineStr">
        <is>
          <t>AUD</t>
        </is>
      </c>
      <c r="E12" t="inlineStr">
        <is>
          <t>VGS</t>
        </is>
      </c>
      <c r="F12" s="5" t="n">
        <v>44377</v>
      </c>
      <c r="H12" t="inlineStr">
        <is>
          <t>QTY_HELD</t>
        </is>
      </c>
    </row>
    <row r="13">
      <c r="A13" t="inlineStr">
        <is>
          <t>A012</t>
        </is>
      </c>
      <c r="C13" t="n">
        <v>147.91</v>
      </c>
      <c r="D13" t="inlineStr">
        <is>
          <t>AUD</t>
        </is>
      </c>
      <c r="E13" t="inlineStr">
        <is>
          <t>A200</t>
        </is>
      </c>
      <c r="F13" s="5" t="n">
        <v>44742</v>
      </c>
      <c r="H13" t="inlineStr">
        <is>
          <t>QTY_HELD</t>
        </is>
      </c>
    </row>
    <row r="14">
      <c r="A14" t="inlineStr">
        <is>
          <t>A013</t>
        </is>
      </c>
      <c r="C14" t="n">
        <v>189.54</v>
      </c>
      <c r="D14" t="inlineStr">
        <is>
          <t>AUD</t>
        </is>
      </c>
      <c r="E14" t="inlineStr">
        <is>
          <t>VGS</t>
        </is>
      </c>
      <c r="F14" s="5" t="n">
        <v>44742</v>
      </c>
      <c r="H14" t="inlineStr">
        <is>
          <t>QTY_HELD</t>
        </is>
      </c>
    </row>
    <row r="15">
      <c r="A15" t="inlineStr">
        <is>
          <t>A014</t>
        </is>
      </c>
      <c r="C15" t="n">
        <v>-416.72</v>
      </c>
      <c r="D15" t="inlineStr">
        <is>
          <t>AUD</t>
        </is>
      </c>
      <c r="E15" t="inlineStr">
        <is>
          <t>A200</t>
        </is>
      </c>
      <c r="F15" s="5" t="n">
        <v>45107</v>
      </c>
      <c r="H15" t="inlineStr">
        <is>
          <t>QTY_HELD</t>
        </is>
      </c>
    </row>
    <row r="16">
      <c r="A16" t="inlineStr">
        <is>
          <t>A015</t>
        </is>
      </c>
      <c r="C16" t="n">
        <v>-89.95999999999999</v>
      </c>
      <c r="D16" t="inlineStr">
        <is>
          <t>AUD</t>
        </is>
      </c>
      <c r="E16" t="inlineStr">
        <is>
          <t>VGS</t>
        </is>
      </c>
      <c r="F16" s="5" t="n">
        <v>45107</v>
      </c>
      <c r="H16" t="inlineStr">
        <is>
          <t>QTY_HELD</t>
        </is>
      </c>
    </row>
    <row r="17">
      <c r="A17" t="inlineStr">
        <is>
          <t>A016</t>
        </is>
      </c>
      <c r="C17" t="n">
        <v>117.92</v>
      </c>
      <c r="D17" t="inlineStr">
        <is>
          <t>AUD</t>
        </is>
      </c>
      <c r="E17" t="inlineStr">
        <is>
          <t>A200</t>
        </is>
      </c>
      <c r="F17" s="5" t="n">
        <v>45473</v>
      </c>
      <c r="H17" t="inlineStr">
        <is>
          <t>QTY_HELD</t>
        </is>
      </c>
    </row>
    <row r="18">
      <c r="A18" t="inlineStr">
        <is>
          <t>A017</t>
        </is>
      </c>
      <c r="C18" t="n">
        <v>609.24</v>
      </c>
      <c r="D18" t="inlineStr">
        <is>
          <t>AUD</t>
        </is>
      </c>
      <c r="E18" t="inlineStr">
        <is>
          <t>VGS</t>
        </is>
      </c>
      <c r="F18" s="5" t="n">
        <v>45473</v>
      </c>
      <c r="H18" t="inlineStr">
        <is>
          <t>QTY_HELD</t>
        </is>
      </c>
    </row>
    <row r="19">
      <c r="A19" t="inlineStr">
        <is>
          <t>A018</t>
        </is>
      </c>
      <c r="C19" t="n">
        <v>288.25</v>
      </c>
      <c r="D19" t="inlineStr">
        <is>
          <t>AUD</t>
        </is>
      </c>
      <c r="E19" t="inlineStr">
        <is>
          <t>A200</t>
        </is>
      </c>
      <c r="F19" s="5" t="n">
        <v>45838</v>
      </c>
      <c r="H19" t="inlineStr">
        <is>
          <t>QTY_HELD</t>
        </is>
      </c>
    </row>
    <row r="20">
      <c r="A20" t="inlineStr">
        <is>
          <t>A019</t>
        </is>
      </c>
      <c r="C20" t="n">
        <v>701.45</v>
      </c>
      <c r="D20" t="inlineStr">
        <is>
          <t>AUD</t>
        </is>
      </c>
      <c r="E20" t="inlineStr">
        <is>
          <t>VGS</t>
        </is>
      </c>
      <c r="F20" s="5" t="n">
        <v>45838</v>
      </c>
      <c r="H20" t="inlineStr">
        <is>
          <t>QTY_HELD</t>
        </is>
      </c>
    </row>
    <row r="21">
      <c r="A21" t="inlineStr">
        <is>
          <t>A020</t>
        </is>
      </c>
      <c r="C21" t="n">
        <v>494.99</v>
      </c>
      <c r="D21" t="inlineStr">
        <is>
          <t>AUD</t>
        </is>
      </c>
      <c r="E21" t="inlineStr">
        <is>
          <t>A200</t>
        </is>
      </c>
      <c r="F21" s="5" t="n">
        <v>46203</v>
      </c>
      <c r="H21" t="inlineStr">
        <is>
          <t>QTY_HELD</t>
        </is>
      </c>
    </row>
    <row r="22">
      <c r="A22" t="inlineStr">
        <is>
          <t>A021</t>
        </is>
      </c>
      <c r="C22" t="n">
        <v>109.68</v>
      </c>
      <c r="D22" t="inlineStr">
        <is>
          <t>AUD</t>
        </is>
      </c>
      <c r="E22" t="inlineStr">
        <is>
          <t>VGS</t>
        </is>
      </c>
      <c r="F22" s="5" t="n">
        <v>46203</v>
      </c>
      <c r="H22" t="inlineStr">
        <is>
          <t>QTY_HELD</t>
        </is>
      </c>
    </row>
  </sheetData>
  <dataValidations count="2">
    <dataValidation sqref="D2:D522" showDropDown="0" showInputMessage="0" showErrorMessage="1" allowBlank="1" errorTitle="Not an allowed value" error="Pick a value for cost_base_increase_currency from the list." type="list">
      <formula1>'ValueAssistance'!$B$2:$B$308</formula1>
    </dataValidation>
    <dataValidation sqref="H2:H522" showDropDown="0" showInputMessage="0" showErrorMessage="1" allowBlank="1" errorTitle="Not an allowed value" error="Pick a value for allocation_method from the list." type="list">
      <formula1>'ValueAssistance'!$F$2:$F$3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127"/>
  <sheetViews>
    <sheetView workbookViewId="0">
      <pane ySplit="1" topLeftCell="A2" activePane="bottomLeft" state="frozen"/>
      <selection pane="bottomLeft" activeCell="A1" sqref="A1"/>
    </sheetView>
  </sheetViews>
  <sheetFormatPr baseColWidth="8" defaultRowHeight="15"/>
  <cols>
    <col width="19.2" customWidth="1" min="1" max="1"/>
    <col width="18.2" customWidth="1" min="2" max="2"/>
    <col width="12.2" customWidth="1" min="3" max="3"/>
    <col width="10.2" customWidth="1" min="4" max="4"/>
    <col width="6.2" customWidth="1" min="5" max="5"/>
    <col width="15.2" customWidth="1" min="6" max="6"/>
    <col width="28.2" customWidth="1" min="7" max="7"/>
    <col width="37.2" customWidth="1" min="8" max="8"/>
    <col width="26.2" customWidth="1" min="9" max="9"/>
    <col width="35.2" customWidth="1" min="10" max="10"/>
    <col width="23.2" customWidth="1" min="11" max="11"/>
    <col width="32.2" customWidth="1" min="12" max="12"/>
    <col width="20.2" customWidth="1" min="13" max="13"/>
    <col width="29.2" customWidth="1" min="14" max="14"/>
    <col width="18.2" customWidth="1" min="15" max="15"/>
    <col width="27.2" customWidth="1" min="16" max="16"/>
    <col width="31.2" customWidth="1" min="17" max="17"/>
    <col width="63.2" customWidth="1" min="18" max="18"/>
  </cols>
  <sheetData>
    <row r="1" ht="32" customHeight="1">
      <c r="A1" s="1" t="inlineStr">
        <is>
          <t>legacy_id</t>
        </is>
      </c>
      <c r="B1" s="1" t="inlineStr">
        <is>
          <t>instrument__name</t>
        </is>
      </c>
      <c r="C1" s="1" t="inlineStr">
        <is>
          <t>date</t>
        </is>
      </c>
      <c r="D1" s="1" t="inlineStr">
        <is>
          <t>quantity</t>
        </is>
      </c>
      <c r="E1" s="1" t="inlineStr">
        <is>
          <t>file</t>
        </is>
      </c>
      <c r="F1" s="1" t="inlineStr">
        <is>
          <t>dividend_type</t>
        </is>
      </c>
      <c r="G1" s="1" t="inlineStr">
        <is>
          <t>unfranked_amount_per_share</t>
        </is>
      </c>
      <c r="H1" s="1" t="inlineStr">
        <is>
          <t>unfranked_amount_per_share_currency</t>
        </is>
      </c>
      <c r="I1" s="1" t="inlineStr">
        <is>
          <t>franked_amount_per_share</t>
        </is>
      </c>
      <c r="J1" s="1" t="inlineStr">
        <is>
          <t>franked_amount_per_share_currency</t>
        </is>
      </c>
      <c r="K1" s="1" t="inlineStr">
        <is>
          <t>local_withholding_tax</t>
        </is>
      </c>
      <c r="L1" s="1" t="inlineStr">
        <is>
          <t>local_withholding_tax_currency</t>
        </is>
      </c>
      <c r="M1" s="1" t="inlineStr">
        <is>
          <t>foreign_tax_credit</t>
        </is>
      </c>
      <c r="N1" s="1" t="inlineStr">
        <is>
          <t>foreign_tax_credit_currency</t>
        </is>
      </c>
      <c r="O1" s="1" t="inlineStr">
        <is>
          <t>lic_capital_gain</t>
        </is>
      </c>
      <c r="P1" s="1" t="inlineStr">
        <is>
          <t>lic_capital_gain_currency</t>
        </is>
      </c>
      <c r="Q1" s="1" t="inlineStr">
        <is>
          <t>corporate_tax_rate_percentage</t>
        </is>
      </c>
      <c r="R1" s="1" t="inlineStr">
        <is>
          <t>notes</t>
        </is>
      </c>
    </row>
    <row r="2">
      <c r="A2" t="inlineStr">
        <is>
          <t>2017-03-29_TLS.AX</t>
        </is>
      </c>
      <c r="B2" t="inlineStr">
        <is>
          <t>TLS</t>
        </is>
      </c>
      <c r="C2" s="5" t="n">
        <v>42823</v>
      </c>
      <c r="D2" t="n">
        <v>195</v>
      </c>
      <c r="F2" t="inlineStr">
        <is>
          <t>LOCAL</t>
        </is>
      </c>
      <c r="G2" t="n">
        <v>0</v>
      </c>
      <c r="H2" t="inlineStr">
        <is>
          <t>AUD</t>
        </is>
      </c>
      <c r="I2" t="n">
        <v>0.155</v>
      </c>
      <c r="J2" t="inlineStr">
        <is>
          <t>AUD</t>
        </is>
      </c>
      <c r="K2" t="n">
        <v>0</v>
      </c>
      <c r="L2" t="inlineStr">
        <is>
          <t>AUD</t>
        </is>
      </c>
      <c r="M2" t="n">
        <v>0</v>
      </c>
      <c r="N2" t="inlineStr">
        <is>
          <t>AUD</t>
        </is>
      </c>
      <c r="O2" t="n">
        <v>0</v>
      </c>
      <c r="P2" t="inlineStr">
        <is>
          <t>AUD</t>
        </is>
      </c>
      <c r="Q2" t="n">
        <v>30</v>
      </c>
      <c r="R2" t="inlineStr">
        <is>
          <t>FAKE DATA - generated for demonstration, not a real portfolio</t>
        </is>
      </c>
    </row>
    <row r="3">
      <c r="A3" t="inlineStr">
        <is>
          <t>2017-05-14_AAPL</t>
        </is>
      </c>
      <c r="B3" t="inlineStr">
        <is>
          <t>AAPL</t>
        </is>
      </c>
      <c r="C3" s="5" t="n">
        <v>42869</v>
      </c>
      <c r="D3" t="n">
        <v>4</v>
      </c>
      <c r="F3" t="inlineStr">
        <is>
          <t>FOREIGN</t>
        </is>
      </c>
      <c r="G3" t="n">
        <v>0.63</v>
      </c>
      <c r="H3" t="inlineStr">
        <is>
          <t>USD</t>
        </is>
      </c>
      <c r="I3" t="n">
        <v>0</v>
      </c>
      <c r="J3" t="inlineStr">
        <is>
          <t>USD</t>
        </is>
      </c>
      <c r="K3" t="n">
        <v>0</v>
      </c>
      <c r="L3" t="inlineStr">
        <is>
          <t>USD</t>
        </is>
      </c>
      <c r="M3" t="n">
        <v>0.38</v>
      </c>
      <c r="N3" t="inlineStr">
        <is>
          <t>USD</t>
        </is>
      </c>
      <c r="O3" t="n">
        <v>0</v>
      </c>
      <c r="P3" t="inlineStr">
        <is>
          <t>USD</t>
        </is>
      </c>
      <c r="Q3" t="n">
        <v>30</v>
      </c>
    </row>
    <row r="4">
      <c r="A4" t="inlineStr">
        <is>
          <t>2017-06-06_MSFT</t>
        </is>
      </c>
      <c r="B4" t="inlineStr">
        <is>
          <t>MSFT</t>
        </is>
      </c>
      <c r="C4" s="5" t="n">
        <v>42892</v>
      </c>
      <c r="D4" t="n">
        <v>14</v>
      </c>
      <c r="F4" t="inlineStr">
        <is>
          <t>FOREIGN</t>
        </is>
      </c>
      <c r="G4" t="n">
        <v>0.39</v>
      </c>
      <c r="H4" t="inlineStr">
        <is>
          <t>USD</t>
        </is>
      </c>
      <c r="I4" t="n">
        <v>0</v>
      </c>
      <c r="J4" t="inlineStr">
        <is>
          <t>USD</t>
        </is>
      </c>
      <c r="K4" t="n">
        <v>0</v>
      </c>
      <c r="L4" t="inlineStr">
        <is>
          <t>USD</t>
        </is>
      </c>
      <c r="M4" t="n">
        <v>0.82</v>
      </c>
      <c r="N4" t="inlineStr">
        <is>
          <t>USD</t>
        </is>
      </c>
      <c r="O4" t="n">
        <v>0</v>
      </c>
      <c r="P4" t="inlineStr">
        <is>
          <t>USD</t>
        </is>
      </c>
      <c r="Q4" t="n">
        <v>30</v>
      </c>
    </row>
    <row r="5">
      <c r="A5" t="inlineStr">
        <is>
          <t>2017-08-13_AAPL</t>
        </is>
      </c>
      <c r="B5" t="inlineStr">
        <is>
          <t>AAPL</t>
        </is>
      </c>
      <c r="C5" s="5" t="n">
        <v>42960</v>
      </c>
      <c r="D5" t="n">
        <v>14</v>
      </c>
      <c r="F5" t="inlineStr">
        <is>
          <t>FOREIGN</t>
        </is>
      </c>
      <c r="G5" t="n">
        <v>0.63</v>
      </c>
      <c r="H5" t="inlineStr">
        <is>
          <t>USD</t>
        </is>
      </c>
      <c r="I5" t="n">
        <v>0</v>
      </c>
      <c r="J5" t="inlineStr">
        <is>
          <t>USD</t>
        </is>
      </c>
      <c r="K5" t="n">
        <v>0</v>
      </c>
      <c r="L5" t="inlineStr">
        <is>
          <t>USD</t>
        </is>
      </c>
      <c r="M5" t="n">
        <v>1.32</v>
      </c>
      <c r="N5" t="inlineStr">
        <is>
          <t>USD</t>
        </is>
      </c>
      <c r="O5" t="n">
        <v>0</v>
      </c>
      <c r="P5" t="inlineStr">
        <is>
          <t>USD</t>
        </is>
      </c>
      <c r="Q5" t="n">
        <v>30</v>
      </c>
    </row>
    <row r="6">
      <c r="A6" t="inlineStr">
        <is>
          <t>2017-09-05_MSFT</t>
        </is>
      </c>
      <c r="B6" t="inlineStr">
        <is>
          <t>MSFT</t>
        </is>
      </c>
      <c r="C6" s="5" t="n">
        <v>42983</v>
      </c>
      <c r="D6" t="n">
        <v>30</v>
      </c>
      <c r="F6" t="inlineStr">
        <is>
          <t>FOREIGN</t>
        </is>
      </c>
      <c r="G6" t="n">
        <v>0.39</v>
      </c>
      <c r="H6" t="inlineStr">
        <is>
          <t>USD</t>
        </is>
      </c>
      <c r="I6" t="n">
        <v>0</v>
      </c>
      <c r="J6" t="inlineStr">
        <is>
          <t>USD</t>
        </is>
      </c>
      <c r="K6" t="n">
        <v>0</v>
      </c>
      <c r="L6" t="inlineStr">
        <is>
          <t>USD</t>
        </is>
      </c>
      <c r="M6" t="n">
        <v>1.76</v>
      </c>
      <c r="N6" t="inlineStr">
        <is>
          <t>USD</t>
        </is>
      </c>
      <c r="O6" t="n">
        <v>0</v>
      </c>
      <c r="P6" t="inlineStr">
        <is>
          <t>USD</t>
        </is>
      </c>
      <c r="Q6" t="n">
        <v>30</v>
      </c>
    </row>
    <row r="7">
      <c r="A7" t="inlineStr">
        <is>
          <t>2017-09-20_CBA.AX</t>
        </is>
      </c>
      <c r="B7" t="inlineStr">
        <is>
          <t>CBA</t>
        </is>
      </c>
      <c r="C7" s="5" t="n">
        <v>42998</v>
      </c>
      <c r="D7" t="n">
        <v>10</v>
      </c>
      <c r="F7" t="inlineStr">
        <is>
          <t>LOCAL</t>
        </is>
      </c>
      <c r="G7" t="n">
        <v>0</v>
      </c>
      <c r="H7" t="inlineStr">
        <is>
          <t>AUD</t>
        </is>
      </c>
      <c r="I7" t="n">
        <v>2.3</v>
      </c>
      <c r="J7" t="inlineStr">
        <is>
          <t>AUD</t>
        </is>
      </c>
      <c r="K7" t="n">
        <v>0</v>
      </c>
      <c r="L7" t="inlineStr">
        <is>
          <t>AUD</t>
        </is>
      </c>
      <c r="M7" t="n">
        <v>0</v>
      </c>
      <c r="N7" t="inlineStr">
        <is>
          <t>AUD</t>
        </is>
      </c>
      <c r="O7" t="n">
        <v>0</v>
      </c>
      <c r="P7" t="inlineStr">
        <is>
          <t>AUD</t>
        </is>
      </c>
      <c r="Q7" t="n">
        <v>30</v>
      </c>
    </row>
    <row r="8">
      <c r="A8" t="inlineStr">
        <is>
          <t>2017-09-27_TLS.AX</t>
        </is>
      </c>
      <c r="B8" t="inlineStr">
        <is>
          <t>TLS</t>
        </is>
      </c>
      <c r="C8" s="5" t="n">
        <v>43005</v>
      </c>
      <c r="D8" t="n">
        <v>494</v>
      </c>
      <c r="F8" t="inlineStr">
        <is>
          <t>LOCAL</t>
        </is>
      </c>
      <c r="G8" t="n">
        <v>0</v>
      </c>
      <c r="H8" t="inlineStr">
        <is>
          <t>AUD</t>
        </is>
      </c>
      <c r="I8" t="n">
        <v>0.155</v>
      </c>
      <c r="J8" t="inlineStr">
        <is>
          <t>AUD</t>
        </is>
      </c>
      <c r="K8" t="n">
        <v>0</v>
      </c>
      <c r="L8" t="inlineStr">
        <is>
          <t>AUD</t>
        </is>
      </c>
      <c r="M8" t="n">
        <v>0</v>
      </c>
      <c r="N8" t="inlineStr">
        <is>
          <t>AUD</t>
        </is>
      </c>
      <c r="O8" t="n">
        <v>0</v>
      </c>
      <c r="P8" t="inlineStr">
        <is>
          <t>AUD</t>
        </is>
      </c>
      <c r="Q8" t="n">
        <v>30</v>
      </c>
    </row>
    <row r="9">
      <c r="A9" t="inlineStr">
        <is>
          <t>2017-11-13_AAPL</t>
        </is>
      </c>
      <c r="B9" t="inlineStr">
        <is>
          <t>AAPL</t>
        </is>
      </c>
      <c r="C9" s="5" t="n">
        <v>43052</v>
      </c>
      <c r="D9" t="n">
        <v>14</v>
      </c>
      <c r="F9" t="inlineStr">
        <is>
          <t>FOREIGN</t>
        </is>
      </c>
      <c r="G9" t="n">
        <v>0.63</v>
      </c>
      <c r="H9" t="inlineStr">
        <is>
          <t>USD</t>
        </is>
      </c>
      <c r="I9" t="n">
        <v>0</v>
      </c>
      <c r="J9" t="inlineStr">
        <is>
          <t>USD</t>
        </is>
      </c>
      <c r="K9" t="n">
        <v>0</v>
      </c>
      <c r="L9" t="inlineStr">
        <is>
          <t>USD</t>
        </is>
      </c>
      <c r="M9" t="n">
        <v>1.32</v>
      </c>
      <c r="N9" t="inlineStr">
        <is>
          <t>USD</t>
        </is>
      </c>
      <c r="O9" t="n">
        <v>0</v>
      </c>
      <c r="P9" t="inlineStr">
        <is>
          <t>USD</t>
        </is>
      </c>
      <c r="Q9" t="n">
        <v>30</v>
      </c>
    </row>
    <row r="10">
      <c r="A10" t="inlineStr">
        <is>
          <t>2017-12-06_MSFT</t>
        </is>
      </c>
      <c r="B10" t="inlineStr">
        <is>
          <t>MSFT</t>
        </is>
      </c>
      <c r="C10" s="5" t="n">
        <v>43075</v>
      </c>
      <c r="D10" t="n">
        <v>38</v>
      </c>
      <c r="F10" t="inlineStr">
        <is>
          <t>FOREIGN</t>
        </is>
      </c>
      <c r="G10" t="n">
        <v>0.42</v>
      </c>
      <c r="H10" t="inlineStr">
        <is>
          <t>USD</t>
        </is>
      </c>
      <c r="I10" t="n">
        <v>0</v>
      </c>
      <c r="J10" t="inlineStr">
        <is>
          <t>USD</t>
        </is>
      </c>
      <c r="K10" t="n">
        <v>0</v>
      </c>
      <c r="L10" t="inlineStr">
        <is>
          <t>USD</t>
        </is>
      </c>
      <c r="M10" t="n">
        <v>2.39</v>
      </c>
      <c r="N10" t="inlineStr">
        <is>
          <t>USD</t>
        </is>
      </c>
      <c r="O10" t="n">
        <v>0</v>
      </c>
      <c r="P10" t="inlineStr">
        <is>
          <t>USD</t>
        </is>
      </c>
      <c r="Q10" t="n">
        <v>30</v>
      </c>
    </row>
    <row r="11">
      <c r="A11" t="inlineStr">
        <is>
          <t>2018-02-12_AAPL</t>
        </is>
      </c>
      <c r="B11" t="inlineStr">
        <is>
          <t>AAPL</t>
        </is>
      </c>
      <c r="C11" s="5" t="n">
        <v>43143</v>
      </c>
      <c r="D11" t="n">
        <v>14</v>
      </c>
      <c r="F11" t="inlineStr">
        <is>
          <t>FOREIGN</t>
        </is>
      </c>
      <c r="G11" t="n">
        <v>0.63</v>
      </c>
      <c r="H11" t="inlineStr">
        <is>
          <t>USD</t>
        </is>
      </c>
      <c r="I11" t="n">
        <v>0</v>
      </c>
      <c r="J11" t="inlineStr">
        <is>
          <t>USD</t>
        </is>
      </c>
      <c r="K11" t="n">
        <v>0</v>
      </c>
      <c r="L11" t="inlineStr">
        <is>
          <t>USD</t>
        </is>
      </c>
      <c r="M11" t="n">
        <v>1.32</v>
      </c>
      <c r="N11" t="inlineStr">
        <is>
          <t>USD</t>
        </is>
      </c>
      <c r="O11" t="n">
        <v>0</v>
      </c>
      <c r="P11" t="inlineStr">
        <is>
          <t>USD</t>
        </is>
      </c>
      <c r="Q11" t="n">
        <v>30</v>
      </c>
    </row>
    <row r="12">
      <c r="A12" t="inlineStr">
        <is>
          <t>2018-03-07_MSFT</t>
        </is>
      </c>
      <c r="B12" t="inlineStr">
        <is>
          <t>MSFT</t>
        </is>
      </c>
      <c r="C12" s="5" t="n">
        <v>43166</v>
      </c>
      <c r="D12" t="n">
        <v>38</v>
      </c>
      <c r="F12" t="inlineStr">
        <is>
          <t>FOREIGN</t>
        </is>
      </c>
      <c r="G12" t="n">
        <v>0.42</v>
      </c>
      <c r="H12" t="inlineStr">
        <is>
          <t>USD</t>
        </is>
      </c>
      <c r="I12" t="n">
        <v>0</v>
      </c>
      <c r="J12" t="inlineStr">
        <is>
          <t>USD</t>
        </is>
      </c>
      <c r="K12" t="n">
        <v>0</v>
      </c>
      <c r="L12" t="inlineStr">
        <is>
          <t>USD</t>
        </is>
      </c>
      <c r="M12" t="n">
        <v>2.39</v>
      </c>
      <c r="N12" t="inlineStr">
        <is>
          <t>USD</t>
        </is>
      </c>
      <c r="O12" t="n">
        <v>0</v>
      </c>
      <c r="P12" t="inlineStr">
        <is>
          <t>USD</t>
        </is>
      </c>
      <c r="Q12" t="n">
        <v>30</v>
      </c>
    </row>
    <row r="13">
      <c r="A13" t="inlineStr">
        <is>
          <t>2018-03-21_CBA.AX</t>
        </is>
      </c>
      <c r="B13" t="inlineStr">
        <is>
          <t>CBA</t>
        </is>
      </c>
      <c r="C13" s="5" t="n">
        <v>43180</v>
      </c>
      <c r="D13" t="n">
        <v>10</v>
      </c>
      <c r="F13" t="inlineStr">
        <is>
          <t>LOCAL</t>
        </is>
      </c>
      <c r="G13" t="n">
        <v>0</v>
      </c>
      <c r="H13" t="inlineStr">
        <is>
          <t>AUD</t>
        </is>
      </c>
      <c r="I13" t="n">
        <v>2</v>
      </c>
      <c r="J13" t="inlineStr">
        <is>
          <t>AUD</t>
        </is>
      </c>
      <c r="K13" t="n">
        <v>0</v>
      </c>
      <c r="L13" t="inlineStr">
        <is>
          <t>AUD</t>
        </is>
      </c>
      <c r="M13" t="n">
        <v>0</v>
      </c>
      <c r="N13" t="inlineStr">
        <is>
          <t>AUD</t>
        </is>
      </c>
      <c r="O13" t="n">
        <v>0</v>
      </c>
      <c r="P13" t="inlineStr">
        <is>
          <t>AUD</t>
        </is>
      </c>
      <c r="Q13" t="n">
        <v>30</v>
      </c>
    </row>
    <row r="14">
      <c r="A14" t="inlineStr">
        <is>
          <t>2018-03-28_TLS.AX</t>
        </is>
      </c>
      <c r="B14" t="inlineStr">
        <is>
          <t>TLS</t>
        </is>
      </c>
      <c r="C14" s="5" t="n">
        <v>43187</v>
      </c>
      <c r="D14" t="n">
        <v>809</v>
      </c>
      <c r="F14" t="inlineStr">
        <is>
          <t>LOCAL</t>
        </is>
      </c>
      <c r="G14" t="n">
        <v>0</v>
      </c>
      <c r="H14" t="inlineStr">
        <is>
          <t>AUD</t>
        </is>
      </c>
      <c r="I14" t="n">
        <v>0.11</v>
      </c>
      <c r="J14" t="inlineStr">
        <is>
          <t>AUD</t>
        </is>
      </c>
      <c r="K14" t="n">
        <v>0</v>
      </c>
      <c r="L14" t="inlineStr">
        <is>
          <t>AUD</t>
        </is>
      </c>
      <c r="M14" t="n">
        <v>0</v>
      </c>
      <c r="N14" t="inlineStr">
        <is>
          <t>AUD</t>
        </is>
      </c>
      <c r="O14" t="n">
        <v>0</v>
      </c>
      <c r="P14" t="inlineStr">
        <is>
          <t>AUD</t>
        </is>
      </c>
      <c r="Q14" t="n">
        <v>30</v>
      </c>
    </row>
    <row r="15">
      <c r="A15" t="inlineStr">
        <is>
          <t>2018-05-14_AAPL</t>
        </is>
      </c>
      <c r="B15" t="inlineStr">
        <is>
          <t>AAPL</t>
        </is>
      </c>
      <c r="C15" s="5" t="n">
        <v>43234</v>
      </c>
      <c r="D15" t="n">
        <v>14</v>
      </c>
      <c r="F15" t="inlineStr">
        <is>
          <t>FOREIGN</t>
        </is>
      </c>
      <c r="G15" t="n">
        <v>0.73</v>
      </c>
      <c r="H15" t="inlineStr">
        <is>
          <t>USD</t>
        </is>
      </c>
      <c r="I15" t="n">
        <v>0</v>
      </c>
      <c r="J15" t="inlineStr">
        <is>
          <t>USD</t>
        </is>
      </c>
      <c r="K15" t="n">
        <v>0</v>
      </c>
      <c r="L15" t="inlineStr">
        <is>
          <t>USD</t>
        </is>
      </c>
      <c r="M15" t="n">
        <v>1.53</v>
      </c>
      <c r="N15" t="inlineStr">
        <is>
          <t>USD</t>
        </is>
      </c>
      <c r="O15" t="n">
        <v>0</v>
      </c>
      <c r="P15" t="inlineStr">
        <is>
          <t>USD</t>
        </is>
      </c>
      <c r="Q15" t="n">
        <v>30</v>
      </c>
    </row>
    <row r="16">
      <c r="A16" t="inlineStr">
        <is>
          <t>2018-06-06_MSFT</t>
        </is>
      </c>
      <c r="B16" t="inlineStr">
        <is>
          <t>MSFT</t>
        </is>
      </c>
      <c r="C16" s="5" t="n">
        <v>43257</v>
      </c>
      <c r="D16" t="n">
        <v>38</v>
      </c>
      <c r="F16" t="inlineStr">
        <is>
          <t>FOREIGN</t>
        </is>
      </c>
      <c r="G16" t="n">
        <v>0.42</v>
      </c>
      <c r="H16" t="inlineStr">
        <is>
          <t>USD</t>
        </is>
      </c>
      <c r="I16" t="n">
        <v>0</v>
      </c>
      <c r="J16" t="inlineStr">
        <is>
          <t>USD</t>
        </is>
      </c>
      <c r="K16" t="n">
        <v>0</v>
      </c>
      <c r="L16" t="inlineStr">
        <is>
          <t>USD</t>
        </is>
      </c>
      <c r="M16" t="n">
        <v>2.39</v>
      </c>
      <c r="N16" t="inlineStr">
        <is>
          <t>USD</t>
        </is>
      </c>
      <c r="O16" t="n">
        <v>0</v>
      </c>
      <c r="P16" t="inlineStr">
        <is>
          <t>USD</t>
        </is>
      </c>
      <c r="Q16" t="n">
        <v>30</v>
      </c>
    </row>
    <row r="17">
      <c r="A17" t="inlineStr">
        <is>
          <t>2018-08-13_AAPL</t>
        </is>
      </c>
      <c r="B17" t="inlineStr">
        <is>
          <t>AAPL</t>
        </is>
      </c>
      <c r="C17" s="5" t="n">
        <v>43325</v>
      </c>
      <c r="D17" t="n">
        <v>14</v>
      </c>
      <c r="F17" t="inlineStr">
        <is>
          <t>FOREIGN</t>
        </is>
      </c>
      <c r="G17" t="n">
        <v>0.73</v>
      </c>
      <c r="H17" t="inlineStr">
        <is>
          <t>USD</t>
        </is>
      </c>
      <c r="I17" t="n">
        <v>0</v>
      </c>
      <c r="J17" t="inlineStr">
        <is>
          <t>USD</t>
        </is>
      </c>
      <c r="K17" t="n">
        <v>0</v>
      </c>
      <c r="L17" t="inlineStr">
        <is>
          <t>USD</t>
        </is>
      </c>
      <c r="M17" t="n">
        <v>1.53</v>
      </c>
      <c r="N17" t="inlineStr">
        <is>
          <t>USD</t>
        </is>
      </c>
      <c r="O17" t="n">
        <v>0</v>
      </c>
      <c r="P17" t="inlineStr">
        <is>
          <t>USD</t>
        </is>
      </c>
      <c r="Q17" t="n">
        <v>30</v>
      </c>
    </row>
    <row r="18">
      <c r="A18" t="inlineStr">
        <is>
          <t>2018-09-05_MSFT</t>
        </is>
      </c>
      <c r="B18" t="inlineStr">
        <is>
          <t>MSFT</t>
        </is>
      </c>
      <c r="C18" s="5" t="n">
        <v>43348</v>
      </c>
      <c r="D18" t="n">
        <v>38</v>
      </c>
      <c r="F18" t="inlineStr">
        <is>
          <t>FOREIGN</t>
        </is>
      </c>
      <c r="G18" t="n">
        <v>0.42</v>
      </c>
      <c r="H18" t="inlineStr">
        <is>
          <t>USD</t>
        </is>
      </c>
      <c r="I18" t="n">
        <v>0</v>
      </c>
      <c r="J18" t="inlineStr">
        <is>
          <t>USD</t>
        </is>
      </c>
      <c r="K18" t="n">
        <v>0</v>
      </c>
      <c r="L18" t="inlineStr">
        <is>
          <t>USD</t>
        </is>
      </c>
      <c r="M18" t="n">
        <v>2.39</v>
      </c>
      <c r="N18" t="inlineStr">
        <is>
          <t>USD</t>
        </is>
      </c>
      <c r="O18" t="n">
        <v>0</v>
      </c>
      <c r="P18" t="inlineStr">
        <is>
          <t>USD</t>
        </is>
      </c>
      <c r="Q18" t="n">
        <v>30</v>
      </c>
    </row>
    <row r="19">
      <c r="A19" t="inlineStr">
        <is>
          <t>2018-09-19_CBA.AX</t>
        </is>
      </c>
      <c r="B19" t="inlineStr">
        <is>
          <t>CBA</t>
        </is>
      </c>
      <c r="C19" s="5" t="n">
        <v>43362</v>
      </c>
      <c r="D19" t="n">
        <v>10</v>
      </c>
      <c r="F19" t="inlineStr">
        <is>
          <t>LOCAL</t>
        </is>
      </c>
      <c r="G19" t="n">
        <v>0</v>
      </c>
      <c r="H19" t="inlineStr">
        <is>
          <t>AUD</t>
        </is>
      </c>
      <c r="I19" t="n">
        <v>2.31</v>
      </c>
      <c r="J19" t="inlineStr">
        <is>
          <t>AUD</t>
        </is>
      </c>
      <c r="K19" t="n">
        <v>0</v>
      </c>
      <c r="L19" t="inlineStr">
        <is>
          <t>AUD</t>
        </is>
      </c>
      <c r="M19" t="n">
        <v>0</v>
      </c>
      <c r="N19" t="inlineStr">
        <is>
          <t>AUD</t>
        </is>
      </c>
      <c r="O19" t="n">
        <v>0</v>
      </c>
      <c r="P19" t="inlineStr">
        <is>
          <t>AUD</t>
        </is>
      </c>
      <c r="Q19" t="n">
        <v>30</v>
      </c>
    </row>
    <row r="20">
      <c r="A20" t="inlineStr">
        <is>
          <t>2018-09-26_TLS.AX</t>
        </is>
      </c>
      <c r="B20" t="inlineStr">
        <is>
          <t>TLS</t>
        </is>
      </c>
      <c r="C20" s="5" t="n">
        <v>43369</v>
      </c>
      <c r="D20" t="n">
        <v>809</v>
      </c>
      <c r="F20" t="inlineStr">
        <is>
          <t>LOCAL</t>
        </is>
      </c>
      <c r="G20" t="n">
        <v>0</v>
      </c>
      <c r="H20" t="inlineStr">
        <is>
          <t>AUD</t>
        </is>
      </c>
      <c r="I20" t="n">
        <v>0.11</v>
      </c>
      <c r="J20" t="inlineStr">
        <is>
          <t>AUD</t>
        </is>
      </c>
      <c r="K20" t="n">
        <v>0</v>
      </c>
      <c r="L20" t="inlineStr">
        <is>
          <t>AUD</t>
        </is>
      </c>
      <c r="M20" t="n">
        <v>0</v>
      </c>
      <c r="N20" t="inlineStr">
        <is>
          <t>AUD</t>
        </is>
      </c>
      <c r="O20" t="n">
        <v>0</v>
      </c>
      <c r="P20" t="inlineStr">
        <is>
          <t>AUD</t>
        </is>
      </c>
      <c r="Q20" t="n">
        <v>30</v>
      </c>
    </row>
    <row r="21">
      <c r="A21" t="inlineStr">
        <is>
          <t>2018-11-11_AAPL</t>
        </is>
      </c>
      <c r="B21" t="inlineStr">
        <is>
          <t>AAPL</t>
        </is>
      </c>
      <c r="C21" s="5" t="n">
        <v>43415</v>
      </c>
      <c r="D21" t="n">
        <v>16</v>
      </c>
      <c r="F21" t="inlineStr">
        <is>
          <t>FOREIGN</t>
        </is>
      </c>
      <c r="G21" t="n">
        <v>0.73</v>
      </c>
      <c r="H21" t="inlineStr">
        <is>
          <t>USD</t>
        </is>
      </c>
      <c r="I21" t="n">
        <v>0</v>
      </c>
      <c r="J21" t="inlineStr">
        <is>
          <t>USD</t>
        </is>
      </c>
      <c r="K21" t="n">
        <v>0</v>
      </c>
      <c r="L21" t="inlineStr">
        <is>
          <t>USD</t>
        </is>
      </c>
      <c r="M21" t="n">
        <v>1.75</v>
      </c>
      <c r="N21" t="inlineStr">
        <is>
          <t>USD</t>
        </is>
      </c>
      <c r="O21" t="n">
        <v>0</v>
      </c>
      <c r="P21" t="inlineStr">
        <is>
          <t>USD</t>
        </is>
      </c>
      <c r="Q21" t="n">
        <v>30</v>
      </c>
    </row>
    <row r="22">
      <c r="A22" t="inlineStr">
        <is>
          <t>2018-12-05_MSFT</t>
        </is>
      </c>
      <c r="B22" t="inlineStr">
        <is>
          <t>MSFT</t>
        </is>
      </c>
      <c r="C22" s="5" t="n">
        <v>43439</v>
      </c>
      <c r="D22" t="n">
        <v>56</v>
      </c>
      <c r="F22" t="inlineStr">
        <is>
          <t>FOREIGN</t>
        </is>
      </c>
      <c r="G22" t="n">
        <v>0.46</v>
      </c>
      <c r="H22" t="inlineStr">
        <is>
          <t>USD</t>
        </is>
      </c>
      <c r="I22" t="n">
        <v>0</v>
      </c>
      <c r="J22" t="inlineStr">
        <is>
          <t>USD</t>
        </is>
      </c>
      <c r="K22" t="n">
        <v>0</v>
      </c>
      <c r="L22" t="inlineStr">
        <is>
          <t>USD</t>
        </is>
      </c>
      <c r="M22" t="n">
        <v>3.86</v>
      </c>
      <c r="N22" t="inlineStr">
        <is>
          <t>USD</t>
        </is>
      </c>
      <c r="O22" t="n">
        <v>0</v>
      </c>
      <c r="P22" t="inlineStr">
        <is>
          <t>USD</t>
        </is>
      </c>
      <c r="Q22" t="n">
        <v>30</v>
      </c>
    </row>
    <row r="23">
      <c r="A23" t="inlineStr">
        <is>
          <t>2019-01-31_BHP.AX</t>
        </is>
      </c>
      <c r="B23" t="inlineStr">
        <is>
          <t>BHP</t>
        </is>
      </c>
      <c r="C23" s="5" t="n">
        <v>43496</v>
      </c>
      <c r="D23" t="n">
        <v>43</v>
      </c>
      <c r="F23" t="inlineStr">
        <is>
          <t>LOCAL</t>
        </is>
      </c>
      <c r="G23" t="n">
        <v>0</v>
      </c>
      <c r="H23" t="inlineStr">
        <is>
          <t>AUD</t>
        </is>
      </c>
      <c r="I23" t="n">
        <v>1.412742</v>
      </c>
      <c r="J23" t="inlineStr">
        <is>
          <t>AUD</t>
        </is>
      </c>
      <c r="K23" t="n">
        <v>0</v>
      </c>
      <c r="L23" t="inlineStr">
        <is>
          <t>AUD</t>
        </is>
      </c>
      <c r="M23" t="n">
        <v>0</v>
      </c>
      <c r="N23" t="inlineStr">
        <is>
          <t>AUD</t>
        </is>
      </c>
      <c r="O23" t="n">
        <v>0</v>
      </c>
      <c r="P23" t="inlineStr">
        <is>
          <t>AUD</t>
        </is>
      </c>
      <c r="Q23" t="n">
        <v>30</v>
      </c>
    </row>
    <row r="24">
      <c r="A24" t="inlineStr">
        <is>
          <t>2019-02-11_AAPL</t>
        </is>
      </c>
      <c r="B24" t="inlineStr">
        <is>
          <t>AAPL</t>
        </is>
      </c>
      <c r="C24" s="5" t="n">
        <v>43507</v>
      </c>
      <c r="D24" t="n">
        <v>19</v>
      </c>
      <c r="F24" t="inlineStr">
        <is>
          <t>FOREIGN</t>
        </is>
      </c>
      <c r="G24" t="n">
        <v>0.73</v>
      </c>
      <c r="H24" t="inlineStr">
        <is>
          <t>USD</t>
        </is>
      </c>
      <c r="I24" t="n">
        <v>0</v>
      </c>
      <c r="J24" t="inlineStr">
        <is>
          <t>USD</t>
        </is>
      </c>
      <c r="K24" t="n">
        <v>0</v>
      </c>
      <c r="L24" t="inlineStr">
        <is>
          <t>USD</t>
        </is>
      </c>
      <c r="M24" t="n">
        <v>2.08</v>
      </c>
      <c r="N24" t="inlineStr">
        <is>
          <t>USD</t>
        </is>
      </c>
      <c r="O24" t="n">
        <v>0</v>
      </c>
      <c r="P24" t="inlineStr">
        <is>
          <t>USD</t>
        </is>
      </c>
      <c r="Q24" t="n">
        <v>30</v>
      </c>
    </row>
    <row r="25">
      <c r="A25" t="inlineStr">
        <is>
          <t>2019-03-13_MSFT</t>
        </is>
      </c>
      <c r="B25" t="inlineStr">
        <is>
          <t>MSFT</t>
        </is>
      </c>
      <c r="C25" s="5" t="n">
        <v>43537</v>
      </c>
      <c r="D25" t="n">
        <v>60</v>
      </c>
      <c r="F25" t="inlineStr">
        <is>
          <t>FOREIGN</t>
        </is>
      </c>
      <c r="G25" t="n">
        <v>0.46</v>
      </c>
      <c r="H25" t="inlineStr">
        <is>
          <t>USD</t>
        </is>
      </c>
      <c r="I25" t="n">
        <v>0</v>
      </c>
      <c r="J25" t="inlineStr">
        <is>
          <t>USD</t>
        </is>
      </c>
      <c r="K25" t="n">
        <v>0</v>
      </c>
      <c r="L25" t="inlineStr">
        <is>
          <t>USD</t>
        </is>
      </c>
      <c r="M25" t="n">
        <v>4.14</v>
      </c>
      <c r="N25" t="inlineStr">
        <is>
          <t>USD</t>
        </is>
      </c>
      <c r="O25" t="n">
        <v>0</v>
      </c>
      <c r="P25" t="inlineStr">
        <is>
          <t>USD</t>
        </is>
      </c>
      <c r="Q25" t="n">
        <v>30</v>
      </c>
    </row>
    <row r="26">
      <c r="A26" t="inlineStr">
        <is>
          <t>2019-03-20_CBA.AX</t>
        </is>
      </c>
      <c r="B26" t="inlineStr">
        <is>
          <t>CBA</t>
        </is>
      </c>
      <c r="C26" s="5" t="n">
        <v>43544</v>
      </c>
      <c r="D26" t="n">
        <v>10</v>
      </c>
      <c r="F26" t="inlineStr">
        <is>
          <t>LOCAL</t>
        </is>
      </c>
      <c r="G26" t="n">
        <v>0</v>
      </c>
      <c r="H26" t="inlineStr">
        <is>
          <t>AUD</t>
        </is>
      </c>
      <c r="I26" t="n">
        <v>2</v>
      </c>
      <c r="J26" t="inlineStr">
        <is>
          <t>AUD</t>
        </is>
      </c>
      <c r="K26" t="n">
        <v>0</v>
      </c>
      <c r="L26" t="inlineStr">
        <is>
          <t>AUD</t>
        </is>
      </c>
      <c r="M26" t="n">
        <v>0</v>
      </c>
      <c r="N26" t="inlineStr">
        <is>
          <t>AUD</t>
        </is>
      </c>
      <c r="O26" t="n">
        <v>0</v>
      </c>
      <c r="P26" t="inlineStr">
        <is>
          <t>AUD</t>
        </is>
      </c>
      <c r="Q26" t="n">
        <v>30</v>
      </c>
    </row>
    <row r="27">
      <c r="A27" t="inlineStr">
        <is>
          <t>2019-03-22_WES.AX</t>
        </is>
      </c>
      <c r="B27" t="inlineStr">
        <is>
          <t>WES</t>
        </is>
      </c>
      <c r="C27" s="5" t="n">
        <v>43546</v>
      </c>
      <c r="D27" t="n">
        <v>14</v>
      </c>
      <c r="F27" t="inlineStr">
        <is>
          <t>LOCAL</t>
        </is>
      </c>
      <c r="G27" t="n">
        <v>0</v>
      </c>
      <c r="H27" t="inlineStr">
        <is>
          <t>AUD</t>
        </is>
      </c>
      <c r="I27" t="n">
        <v>2</v>
      </c>
      <c r="J27" t="inlineStr">
        <is>
          <t>AUD</t>
        </is>
      </c>
      <c r="K27" t="n">
        <v>0</v>
      </c>
      <c r="L27" t="inlineStr">
        <is>
          <t>AUD</t>
        </is>
      </c>
      <c r="M27" t="n">
        <v>0</v>
      </c>
      <c r="N27" t="inlineStr">
        <is>
          <t>AUD</t>
        </is>
      </c>
      <c r="O27" t="n">
        <v>0</v>
      </c>
      <c r="P27" t="inlineStr">
        <is>
          <t>AUD</t>
        </is>
      </c>
      <c r="Q27" t="n">
        <v>30</v>
      </c>
    </row>
    <row r="28">
      <c r="A28" t="inlineStr">
        <is>
          <t>2019-03-27_TLS.AX</t>
        </is>
      </c>
      <c r="B28" t="inlineStr">
        <is>
          <t>TLS</t>
        </is>
      </c>
      <c r="C28" s="5" t="n">
        <v>43551</v>
      </c>
      <c r="D28" t="n">
        <v>809</v>
      </c>
      <c r="F28" t="inlineStr">
        <is>
          <t>LOCAL</t>
        </is>
      </c>
      <c r="G28" t="n">
        <v>0</v>
      </c>
      <c r="H28" t="inlineStr">
        <is>
          <t>AUD</t>
        </is>
      </c>
      <c r="I28" t="n">
        <v>0.08</v>
      </c>
      <c r="J28" t="inlineStr">
        <is>
          <t>AUD</t>
        </is>
      </c>
      <c r="K28" t="n">
        <v>0</v>
      </c>
      <c r="L28" t="inlineStr">
        <is>
          <t>AUD</t>
        </is>
      </c>
      <c r="M28" t="n">
        <v>0</v>
      </c>
      <c r="N28" t="inlineStr">
        <is>
          <t>AUD</t>
        </is>
      </c>
      <c r="O28" t="n">
        <v>0</v>
      </c>
      <c r="P28" t="inlineStr">
        <is>
          <t>AUD</t>
        </is>
      </c>
      <c r="Q28" t="n">
        <v>30</v>
      </c>
    </row>
    <row r="29">
      <c r="A29" t="inlineStr">
        <is>
          <t>2019-03-28_BHP.AX</t>
        </is>
      </c>
      <c r="B29" t="inlineStr">
        <is>
          <t>BHP</t>
        </is>
      </c>
      <c r="C29" s="5" t="n">
        <v>43552</v>
      </c>
      <c r="D29" t="n">
        <v>43</v>
      </c>
      <c r="F29" t="inlineStr">
        <is>
          <t>LOCAL</t>
        </is>
      </c>
      <c r="G29" t="n">
        <v>0</v>
      </c>
      <c r="H29" t="inlineStr">
        <is>
          <t>AUD</t>
        </is>
      </c>
      <c r="I29" t="n">
        <v>0.780806</v>
      </c>
      <c r="J29" t="inlineStr">
        <is>
          <t>AUD</t>
        </is>
      </c>
      <c r="K29" t="n">
        <v>0</v>
      </c>
      <c r="L29" t="inlineStr">
        <is>
          <t>AUD</t>
        </is>
      </c>
      <c r="M29" t="n">
        <v>0</v>
      </c>
      <c r="N29" t="inlineStr">
        <is>
          <t>AUD</t>
        </is>
      </c>
      <c r="O29" t="n">
        <v>0</v>
      </c>
      <c r="P29" t="inlineStr">
        <is>
          <t>AUD</t>
        </is>
      </c>
      <c r="Q29" t="n">
        <v>30</v>
      </c>
    </row>
    <row r="30">
      <c r="A30" t="inlineStr">
        <is>
          <t>2019-05-13_AAPL</t>
        </is>
      </c>
      <c r="B30" t="inlineStr">
        <is>
          <t>AAPL</t>
        </is>
      </c>
      <c r="C30" s="5" t="n">
        <v>43598</v>
      </c>
      <c r="D30" t="n">
        <v>21</v>
      </c>
      <c r="F30" t="inlineStr">
        <is>
          <t>FOREIGN</t>
        </is>
      </c>
      <c r="G30" t="n">
        <v>0.77</v>
      </c>
      <c r="H30" t="inlineStr">
        <is>
          <t>USD</t>
        </is>
      </c>
      <c r="I30" t="n">
        <v>0</v>
      </c>
      <c r="J30" t="inlineStr">
        <is>
          <t>USD</t>
        </is>
      </c>
      <c r="K30" t="n">
        <v>0</v>
      </c>
      <c r="L30" t="inlineStr">
        <is>
          <t>USD</t>
        </is>
      </c>
      <c r="M30" t="n">
        <v>2.43</v>
      </c>
      <c r="N30" t="inlineStr">
        <is>
          <t>USD</t>
        </is>
      </c>
      <c r="O30" t="n">
        <v>0</v>
      </c>
      <c r="P30" t="inlineStr">
        <is>
          <t>USD</t>
        </is>
      </c>
      <c r="Q30" t="n">
        <v>30</v>
      </c>
    </row>
    <row r="31">
      <c r="A31" t="inlineStr">
        <is>
          <t>2019-06-05_MSFT</t>
        </is>
      </c>
      <c r="B31" t="inlineStr">
        <is>
          <t>MSFT</t>
        </is>
      </c>
      <c r="C31" s="5" t="n">
        <v>43621</v>
      </c>
      <c r="D31" t="n">
        <v>60</v>
      </c>
      <c r="F31" t="inlineStr">
        <is>
          <t>FOREIGN</t>
        </is>
      </c>
      <c r="G31" t="n">
        <v>0.46</v>
      </c>
      <c r="H31" t="inlineStr">
        <is>
          <t>USD</t>
        </is>
      </c>
      <c r="I31" t="n">
        <v>0</v>
      </c>
      <c r="J31" t="inlineStr">
        <is>
          <t>USD</t>
        </is>
      </c>
      <c r="K31" t="n">
        <v>0</v>
      </c>
      <c r="L31" t="inlineStr">
        <is>
          <t>USD</t>
        </is>
      </c>
      <c r="M31" t="n">
        <v>4.14</v>
      </c>
      <c r="N31" t="inlineStr">
        <is>
          <t>USD</t>
        </is>
      </c>
      <c r="O31" t="n">
        <v>0</v>
      </c>
      <c r="P31" t="inlineStr">
        <is>
          <t>USD</t>
        </is>
      </c>
      <c r="Q31" t="n">
        <v>30</v>
      </c>
    </row>
    <row r="32">
      <c r="A32" t="inlineStr">
        <is>
          <t>2019-08-12_AAPL</t>
        </is>
      </c>
      <c r="B32" t="inlineStr">
        <is>
          <t>AAPL</t>
        </is>
      </c>
      <c r="C32" s="5" t="n">
        <v>43689</v>
      </c>
      <c r="D32" t="n">
        <v>21</v>
      </c>
      <c r="F32" t="inlineStr">
        <is>
          <t>FOREIGN</t>
        </is>
      </c>
      <c r="G32" t="n">
        <v>0.77</v>
      </c>
      <c r="H32" t="inlineStr">
        <is>
          <t>USD</t>
        </is>
      </c>
      <c r="I32" t="n">
        <v>0</v>
      </c>
      <c r="J32" t="inlineStr">
        <is>
          <t>USD</t>
        </is>
      </c>
      <c r="K32" t="n">
        <v>0</v>
      </c>
      <c r="L32" t="inlineStr">
        <is>
          <t>USD</t>
        </is>
      </c>
      <c r="M32" t="n">
        <v>2.43</v>
      </c>
      <c r="N32" t="inlineStr">
        <is>
          <t>USD</t>
        </is>
      </c>
      <c r="O32" t="n">
        <v>0</v>
      </c>
      <c r="P32" t="inlineStr">
        <is>
          <t>USD</t>
        </is>
      </c>
      <c r="Q32" t="n">
        <v>30</v>
      </c>
    </row>
    <row r="33">
      <c r="A33" t="inlineStr">
        <is>
          <t>2019-09-04_MSFT</t>
        </is>
      </c>
      <c r="B33" t="inlineStr">
        <is>
          <t>MSFT</t>
        </is>
      </c>
      <c r="C33" s="5" t="n">
        <v>43712</v>
      </c>
      <c r="D33" t="n">
        <v>66</v>
      </c>
      <c r="F33" t="inlineStr">
        <is>
          <t>FOREIGN</t>
        </is>
      </c>
      <c r="G33" t="n">
        <v>0.46</v>
      </c>
      <c r="H33" t="inlineStr">
        <is>
          <t>USD</t>
        </is>
      </c>
      <c r="I33" t="n">
        <v>0</v>
      </c>
      <c r="J33" t="inlineStr">
        <is>
          <t>USD</t>
        </is>
      </c>
      <c r="K33" t="n">
        <v>0</v>
      </c>
      <c r="L33" t="inlineStr">
        <is>
          <t>USD</t>
        </is>
      </c>
      <c r="M33" t="n">
        <v>4.55</v>
      </c>
      <c r="N33" t="inlineStr">
        <is>
          <t>USD</t>
        </is>
      </c>
      <c r="O33" t="n">
        <v>0</v>
      </c>
      <c r="P33" t="inlineStr">
        <is>
          <t>USD</t>
        </is>
      </c>
      <c r="Q33" t="n">
        <v>30</v>
      </c>
    </row>
    <row r="34">
      <c r="A34" t="inlineStr">
        <is>
          <t>2019-09-18_CBA.AX</t>
        </is>
      </c>
      <c r="B34" t="inlineStr">
        <is>
          <t>CBA</t>
        </is>
      </c>
      <c r="C34" s="5" t="n">
        <v>43726</v>
      </c>
      <c r="D34" t="n">
        <v>24</v>
      </c>
      <c r="F34" t="inlineStr">
        <is>
          <t>LOCAL</t>
        </is>
      </c>
      <c r="G34" t="n">
        <v>0</v>
      </c>
      <c r="H34" t="inlineStr">
        <is>
          <t>AUD</t>
        </is>
      </c>
      <c r="I34" t="n">
        <v>2.31</v>
      </c>
      <c r="J34" t="inlineStr">
        <is>
          <t>AUD</t>
        </is>
      </c>
      <c r="K34" t="n">
        <v>0</v>
      </c>
      <c r="L34" t="inlineStr">
        <is>
          <t>AUD</t>
        </is>
      </c>
      <c r="M34" t="n">
        <v>0</v>
      </c>
      <c r="N34" t="inlineStr">
        <is>
          <t>AUD</t>
        </is>
      </c>
      <c r="O34" t="n">
        <v>0</v>
      </c>
      <c r="P34" t="inlineStr">
        <is>
          <t>AUD</t>
        </is>
      </c>
      <c r="Q34" t="n">
        <v>30</v>
      </c>
    </row>
    <row r="35">
      <c r="A35" t="inlineStr">
        <is>
          <t>2019-09-23_WES.AX</t>
        </is>
      </c>
      <c r="B35" t="inlineStr">
        <is>
          <t>WES</t>
        </is>
      </c>
      <c r="C35" s="5" t="n">
        <v>43731</v>
      </c>
      <c r="D35" t="n">
        <v>37</v>
      </c>
      <c r="F35" t="inlineStr">
        <is>
          <t>LOCAL</t>
        </is>
      </c>
      <c r="G35" t="n">
        <v>0</v>
      </c>
      <c r="H35" t="inlineStr">
        <is>
          <t>AUD</t>
        </is>
      </c>
      <c r="I35" t="n">
        <v>0.78</v>
      </c>
      <c r="J35" t="inlineStr">
        <is>
          <t>AUD</t>
        </is>
      </c>
      <c r="K35" t="n">
        <v>0</v>
      </c>
      <c r="L35" t="inlineStr">
        <is>
          <t>AUD</t>
        </is>
      </c>
      <c r="M35" t="n">
        <v>0</v>
      </c>
      <c r="N35" t="inlineStr">
        <is>
          <t>AUD</t>
        </is>
      </c>
      <c r="O35" t="n">
        <v>0</v>
      </c>
      <c r="P35" t="inlineStr">
        <is>
          <t>AUD</t>
        </is>
      </c>
      <c r="Q35" t="n">
        <v>30</v>
      </c>
    </row>
    <row r="36">
      <c r="A36" t="inlineStr">
        <is>
          <t>2019-09-25_TLS.AX</t>
        </is>
      </c>
      <c r="B36" t="inlineStr">
        <is>
          <t>TLS</t>
        </is>
      </c>
      <c r="C36" s="5" t="n">
        <v>43733</v>
      </c>
      <c r="D36" t="n">
        <v>809</v>
      </c>
      <c r="F36" t="inlineStr">
        <is>
          <t>LOCAL</t>
        </is>
      </c>
      <c r="G36" t="n">
        <v>0</v>
      </c>
      <c r="H36" t="inlineStr">
        <is>
          <t>AUD</t>
        </is>
      </c>
      <c r="I36" t="n">
        <v>0.08</v>
      </c>
      <c r="J36" t="inlineStr">
        <is>
          <t>AUD</t>
        </is>
      </c>
      <c r="K36" t="n">
        <v>0</v>
      </c>
      <c r="L36" t="inlineStr">
        <is>
          <t>AUD</t>
        </is>
      </c>
      <c r="M36" t="n">
        <v>0</v>
      </c>
      <c r="N36" t="inlineStr">
        <is>
          <t>AUD</t>
        </is>
      </c>
      <c r="O36" t="n">
        <v>0</v>
      </c>
      <c r="P36" t="inlineStr">
        <is>
          <t>AUD</t>
        </is>
      </c>
      <c r="Q36" t="n">
        <v>30</v>
      </c>
    </row>
    <row r="37">
      <c r="A37" t="inlineStr">
        <is>
          <t>2019-09-26_BHP.AX</t>
        </is>
      </c>
      <c r="B37" t="inlineStr">
        <is>
          <t>BHP</t>
        </is>
      </c>
      <c r="C37" s="5" t="n">
        <v>43734</v>
      </c>
      <c r="D37" t="n">
        <v>43</v>
      </c>
      <c r="F37" t="inlineStr">
        <is>
          <t>LOCAL</t>
        </is>
      </c>
      <c r="G37" t="n">
        <v>0</v>
      </c>
      <c r="H37" t="inlineStr">
        <is>
          <t>AUD</t>
        </is>
      </c>
      <c r="I37" t="n">
        <v>1.137026</v>
      </c>
      <c r="J37" t="inlineStr">
        <is>
          <t>AUD</t>
        </is>
      </c>
      <c r="K37" t="n">
        <v>0</v>
      </c>
      <c r="L37" t="inlineStr">
        <is>
          <t>AUD</t>
        </is>
      </c>
      <c r="M37" t="n">
        <v>0</v>
      </c>
      <c r="N37" t="inlineStr">
        <is>
          <t>AUD</t>
        </is>
      </c>
      <c r="O37" t="n">
        <v>0</v>
      </c>
      <c r="P37" t="inlineStr">
        <is>
          <t>AUD</t>
        </is>
      </c>
      <c r="Q37" t="n">
        <v>30</v>
      </c>
    </row>
    <row r="38">
      <c r="A38" t="inlineStr">
        <is>
          <t>2019-11-10_AAPL</t>
        </is>
      </c>
      <c r="B38" t="inlineStr">
        <is>
          <t>AAPL</t>
        </is>
      </c>
      <c r="C38" s="5" t="n">
        <v>43779</v>
      </c>
      <c r="D38" t="n">
        <v>24</v>
      </c>
      <c r="F38" t="inlineStr">
        <is>
          <t>FOREIGN</t>
        </is>
      </c>
      <c r="G38" t="n">
        <v>0.77</v>
      </c>
      <c r="H38" t="inlineStr">
        <is>
          <t>USD</t>
        </is>
      </c>
      <c r="I38" t="n">
        <v>0</v>
      </c>
      <c r="J38" t="inlineStr">
        <is>
          <t>USD</t>
        </is>
      </c>
      <c r="K38" t="n">
        <v>0</v>
      </c>
      <c r="L38" t="inlineStr">
        <is>
          <t>USD</t>
        </is>
      </c>
      <c r="M38" t="n">
        <v>2.77</v>
      </c>
      <c r="N38" t="inlineStr">
        <is>
          <t>USD</t>
        </is>
      </c>
      <c r="O38" t="n">
        <v>0</v>
      </c>
      <c r="P38" t="inlineStr">
        <is>
          <t>USD</t>
        </is>
      </c>
      <c r="Q38" t="n">
        <v>30</v>
      </c>
    </row>
    <row r="39">
      <c r="A39" t="inlineStr">
        <is>
          <t>2019-12-11_MSFT</t>
        </is>
      </c>
      <c r="B39" t="inlineStr">
        <is>
          <t>MSFT</t>
        </is>
      </c>
      <c r="C39" s="5" t="n">
        <v>43810</v>
      </c>
      <c r="D39" t="n">
        <v>72</v>
      </c>
      <c r="F39" t="inlineStr">
        <is>
          <t>FOREIGN</t>
        </is>
      </c>
      <c r="G39" t="n">
        <v>0.51</v>
      </c>
      <c r="H39" t="inlineStr">
        <is>
          <t>USD</t>
        </is>
      </c>
      <c r="I39" t="n">
        <v>0</v>
      </c>
      <c r="J39" t="inlineStr">
        <is>
          <t>USD</t>
        </is>
      </c>
      <c r="K39" t="n">
        <v>0</v>
      </c>
      <c r="L39" t="inlineStr">
        <is>
          <t>USD</t>
        </is>
      </c>
      <c r="M39" t="n">
        <v>5.51</v>
      </c>
      <c r="N39" t="inlineStr">
        <is>
          <t>USD</t>
        </is>
      </c>
      <c r="O39" t="n">
        <v>0</v>
      </c>
      <c r="P39" t="inlineStr">
        <is>
          <t>USD</t>
        </is>
      </c>
      <c r="Q39" t="n">
        <v>30</v>
      </c>
    </row>
    <row r="40">
      <c r="A40" t="inlineStr">
        <is>
          <t>2020-02-10_AAPL</t>
        </is>
      </c>
      <c r="B40" t="inlineStr">
        <is>
          <t>AAPL</t>
        </is>
      </c>
      <c r="C40" s="5" t="n">
        <v>43871</v>
      </c>
      <c r="D40" t="n">
        <v>26</v>
      </c>
      <c r="F40" t="inlineStr">
        <is>
          <t>FOREIGN</t>
        </is>
      </c>
      <c r="G40" t="n">
        <v>0.77</v>
      </c>
      <c r="H40" t="inlineStr">
        <is>
          <t>USD</t>
        </is>
      </c>
      <c r="I40" t="n">
        <v>0</v>
      </c>
      <c r="J40" t="inlineStr">
        <is>
          <t>USD</t>
        </is>
      </c>
      <c r="K40" t="n">
        <v>0</v>
      </c>
      <c r="L40" t="inlineStr">
        <is>
          <t>USD</t>
        </is>
      </c>
      <c r="M40" t="n">
        <v>3</v>
      </c>
      <c r="N40" t="inlineStr">
        <is>
          <t>USD</t>
        </is>
      </c>
      <c r="O40" t="n">
        <v>0</v>
      </c>
      <c r="P40" t="inlineStr">
        <is>
          <t>USD</t>
        </is>
      </c>
      <c r="Q40" t="n">
        <v>30</v>
      </c>
    </row>
    <row r="41">
      <c r="A41" t="inlineStr">
        <is>
          <t>2020-03-11_MSFT</t>
        </is>
      </c>
      <c r="B41" t="inlineStr">
        <is>
          <t>MSFT</t>
        </is>
      </c>
      <c r="C41" s="5" t="n">
        <v>43901</v>
      </c>
      <c r="D41" t="n">
        <v>75</v>
      </c>
      <c r="F41" t="inlineStr">
        <is>
          <t>FOREIGN</t>
        </is>
      </c>
      <c r="G41" t="n">
        <v>0.51</v>
      </c>
      <c r="H41" t="inlineStr">
        <is>
          <t>USD</t>
        </is>
      </c>
      <c r="I41" t="n">
        <v>0</v>
      </c>
      <c r="J41" t="inlineStr">
        <is>
          <t>USD</t>
        </is>
      </c>
      <c r="K41" t="n">
        <v>0</v>
      </c>
      <c r="L41" t="inlineStr">
        <is>
          <t>USD</t>
        </is>
      </c>
      <c r="M41" t="n">
        <v>5.74</v>
      </c>
      <c r="N41" t="inlineStr">
        <is>
          <t>USD</t>
        </is>
      </c>
      <c r="O41" t="n">
        <v>0</v>
      </c>
      <c r="P41" t="inlineStr">
        <is>
          <t>USD</t>
        </is>
      </c>
      <c r="Q41" t="n">
        <v>30</v>
      </c>
    </row>
    <row r="42">
      <c r="A42" t="inlineStr">
        <is>
          <t>2020-03-19_WES.AX</t>
        </is>
      </c>
      <c r="B42" t="inlineStr">
        <is>
          <t>WES</t>
        </is>
      </c>
      <c r="C42" s="5" t="n">
        <v>43909</v>
      </c>
      <c r="D42" t="n">
        <v>37</v>
      </c>
      <c r="F42" t="inlineStr">
        <is>
          <t>LOCAL</t>
        </is>
      </c>
      <c r="G42" t="n">
        <v>0</v>
      </c>
      <c r="H42" t="inlineStr">
        <is>
          <t>AUD</t>
        </is>
      </c>
      <c r="I42" t="n">
        <v>0.75</v>
      </c>
      <c r="J42" t="inlineStr">
        <is>
          <t>AUD</t>
        </is>
      </c>
      <c r="K42" t="n">
        <v>0</v>
      </c>
      <c r="L42" t="inlineStr">
        <is>
          <t>AUD</t>
        </is>
      </c>
      <c r="M42" t="n">
        <v>0</v>
      </c>
      <c r="N42" t="inlineStr">
        <is>
          <t>AUD</t>
        </is>
      </c>
      <c r="O42" t="n">
        <v>0</v>
      </c>
      <c r="P42" t="inlineStr">
        <is>
          <t>AUD</t>
        </is>
      </c>
      <c r="Q42" t="n">
        <v>30</v>
      </c>
    </row>
    <row r="43">
      <c r="A43" t="inlineStr">
        <is>
          <t>2020-03-25_CBA.AX</t>
        </is>
      </c>
      <c r="B43" t="inlineStr">
        <is>
          <t>CBA</t>
        </is>
      </c>
      <c r="C43" s="5" t="n">
        <v>43915</v>
      </c>
      <c r="D43" t="n">
        <v>24</v>
      </c>
      <c r="F43" t="inlineStr">
        <is>
          <t>LOCAL</t>
        </is>
      </c>
      <c r="G43" t="n">
        <v>0</v>
      </c>
      <c r="H43" t="inlineStr">
        <is>
          <t>AUD</t>
        </is>
      </c>
      <c r="I43" t="n">
        <v>2</v>
      </c>
      <c r="J43" t="inlineStr">
        <is>
          <t>AUD</t>
        </is>
      </c>
      <c r="K43" t="n">
        <v>0</v>
      </c>
      <c r="L43" t="inlineStr">
        <is>
          <t>AUD</t>
        </is>
      </c>
      <c r="M43" t="n">
        <v>0</v>
      </c>
      <c r="N43" t="inlineStr">
        <is>
          <t>AUD</t>
        </is>
      </c>
      <c r="O43" t="n">
        <v>0</v>
      </c>
      <c r="P43" t="inlineStr">
        <is>
          <t>AUD</t>
        </is>
      </c>
      <c r="Q43" t="n">
        <v>30</v>
      </c>
    </row>
    <row r="44">
      <c r="A44" t="inlineStr">
        <is>
          <t>2020-03-26_BHP.AX</t>
        </is>
      </c>
      <c r="B44" t="inlineStr">
        <is>
          <t>BHP</t>
        </is>
      </c>
      <c r="C44" s="5" t="n">
        <v>43916</v>
      </c>
      <c r="D44" t="n">
        <v>43</v>
      </c>
      <c r="F44" t="inlineStr">
        <is>
          <t>LOCAL</t>
        </is>
      </c>
      <c r="G44" t="n">
        <v>0</v>
      </c>
      <c r="H44" t="inlineStr">
        <is>
          <t>AUD</t>
        </is>
      </c>
      <c r="I44" t="n">
        <v>0.994036</v>
      </c>
      <c r="J44" t="inlineStr">
        <is>
          <t>AUD</t>
        </is>
      </c>
      <c r="K44" t="n">
        <v>0</v>
      </c>
      <c r="L44" t="inlineStr">
        <is>
          <t>AUD</t>
        </is>
      </c>
      <c r="M44" t="n">
        <v>0</v>
      </c>
      <c r="N44" t="inlineStr">
        <is>
          <t>AUD</t>
        </is>
      </c>
      <c r="O44" t="n">
        <v>0</v>
      </c>
      <c r="P44" t="inlineStr">
        <is>
          <t>AUD</t>
        </is>
      </c>
      <c r="Q44" t="n">
        <v>30</v>
      </c>
    </row>
    <row r="45">
      <c r="A45" t="inlineStr">
        <is>
          <t>2020-05-11_AAPL</t>
        </is>
      </c>
      <c r="B45" t="inlineStr">
        <is>
          <t>AAPL</t>
        </is>
      </c>
      <c r="C45" s="5" t="n">
        <v>43962</v>
      </c>
      <c r="D45" t="n">
        <v>26</v>
      </c>
      <c r="F45" t="inlineStr">
        <is>
          <t>FOREIGN</t>
        </is>
      </c>
      <c r="G45" t="n">
        <v>0.82</v>
      </c>
      <c r="H45" t="inlineStr">
        <is>
          <t>USD</t>
        </is>
      </c>
      <c r="I45" t="n">
        <v>0</v>
      </c>
      <c r="J45" t="inlineStr">
        <is>
          <t>USD</t>
        </is>
      </c>
      <c r="K45" t="n">
        <v>0</v>
      </c>
      <c r="L45" t="inlineStr">
        <is>
          <t>USD</t>
        </is>
      </c>
      <c r="M45" t="n">
        <v>3.2</v>
      </c>
      <c r="N45" t="inlineStr">
        <is>
          <t>USD</t>
        </is>
      </c>
      <c r="O45" t="n">
        <v>0</v>
      </c>
      <c r="P45" t="inlineStr">
        <is>
          <t>USD</t>
        </is>
      </c>
      <c r="Q45" t="n">
        <v>30</v>
      </c>
    </row>
    <row r="46">
      <c r="A46" t="inlineStr">
        <is>
          <t>2020-06-10_MSFT</t>
        </is>
      </c>
      <c r="B46" t="inlineStr">
        <is>
          <t>MSFT</t>
        </is>
      </c>
      <c r="C46" s="5" t="n">
        <v>43992</v>
      </c>
      <c r="D46" t="n">
        <v>77</v>
      </c>
      <c r="F46" t="inlineStr">
        <is>
          <t>FOREIGN</t>
        </is>
      </c>
      <c r="G46" t="n">
        <v>0.51</v>
      </c>
      <c r="H46" t="inlineStr">
        <is>
          <t>USD</t>
        </is>
      </c>
      <c r="I46" t="n">
        <v>0</v>
      </c>
      <c r="J46" t="inlineStr">
        <is>
          <t>USD</t>
        </is>
      </c>
      <c r="K46" t="n">
        <v>0</v>
      </c>
      <c r="L46" t="inlineStr">
        <is>
          <t>USD</t>
        </is>
      </c>
      <c r="M46" t="n">
        <v>5.89</v>
      </c>
      <c r="N46" t="inlineStr">
        <is>
          <t>USD</t>
        </is>
      </c>
      <c r="O46" t="n">
        <v>0</v>
      </c>
      <c r="P46" t="inlineStr">
        <is>
          <t>USD</t>
        </is>
      </c>
      <c r="Q46" t="n">
        <v>30</v>
      </c>
    </row>
    <row r="47">
      <c r="A47" t="inlineStr">
        <is>
          <t>2020-08-10_AAPL</t>
        </is>
      </c>
      <c r="B47" t="inlineStr">
        <is>
          <t>AAPL</t>
        </is>
      </c>
      <c r="C47" s="5" t="n">
        <v>44053</v>
      </c>
      <c r="D47" t="n">
        <v>29</v>
      </c>
      <c r="F47" t="inlineStr">
        <is>
          <t>FOREIGN</t>
        </is>
      </c>
      <c r="G47" t="n">
        <v>0.82</v>
      </c>
      <c r="H47" t="inlineStr">
        <is>
          <t>USD</t>
        </is>
      </c>
      <c r="I47" t="n">
        <v>0</v>
      </c>
      <c r="J47" t="inlineStr">
        <is>
          <t>USD</t>
        </is>
      </c>
      <c r="K47" t="n">
        <v>0</v>
      </c>
      <c r="L47" t="inlineStr">
        <is>
          <t>USD</t>
        </is>
      </c>
      <c r="M47" t="n">
        <v>3.57</v>
      </c>
      <c r="N47" t="inlineStr">
        <is>
          <t>USD</t>
        </is>
      </c>
      <c r="O47" t="n">
        <v>0</v>
      </c>
      <c r="P47" t="inlineStr">
        <is>
          <t>USD</t>
        </is>
      </c>
      <c r="Q47" t="n">
        <v>30</v>
      </c>
    </row>
    <row r="48">
      <c r="A48" t="inlineStr">
        <is>
          <t>2020-09-09_MSFT</t>
        </is>
      </c>
      <c r="B48" t="inlineStr">
        <is>
          <t>MSFT</t>
        </is>
      </c>
      <c r="C48" s="5" t="n">
        <v>44083</v>
      </c>
      <c r="D48" t="n">
        <v>82</v>
      </c>
      <c r="F48" t="inlineStr">
        <is>
          <t>FOREIGN</t>
        </is>
      </c>
      <c r="G48" t="n">
        <v>0.51</v>
      </c>
      <c r="H48" t="inlineStr">
        <is>
          <t>USD</t>
        </is>
      </c>
      <c r="I48" t="n">
        <v>0</v>
      </c>
      <c r="J48" t="inlineStr">
        <is>
          <t>USD</t>
        </is>
      </c>
      <c r="K48" t="n">
        <v>0</v>
      </c>
      <c r="L48" t="inlineStr">
        <is>
          <t>USD</t>
        </is>
      </c>
      <c r="M48" t="n">
        <v>6.27</v>
      </c>
      <c r="N48" t="inlineStr">
        <is>
          <t>USD</t>
        </is>
      </c>
      <c r="O48" t="n">
        <v>0</v>
      </c>
      <c r="P48" t="inlineStr">
        <is>
          <t>USD</t>
        </is>
      </c>
      <c r="Q48" t="n">
        <v>30</v>
      </c>
    </row>
    <row r="49">
      <c r="A49" t="inlineStr">
        <is>
          <t>2020-09-18_WES.AX</t>
        </is>
      </c>
      <c r="B49" t="inlineStr">
        <is>
          <t>WES</t>
        </is>
      </c>
      <c r="C49" s="5" t="n">
        <v>44092</v>
      </c>
      <c r="D49" t="n">
        <v>65</v>
      </c>
      <c r="F49" t="inlineStr">
        <is>
          <t>LOCAL</t>
        </is>
      </c>
      <c r="G49" t="n">
        <v>0</v>
      </c>
      <c r="H49" t="inlineStr">
        <is>
          <t>AUD</t>
        </is>
      </c>
      <c r="I49" t="n">
        <v>0.95</v>
      </c>
      <c r="J49" t="inlineStr">
        <is>
          <t>AUD</t>
        </is>
      </c>
      <c r="K49" t="n">
        <v>0</v>
      </c>
      <c r="L49" t="inlineStr">
        <is>
          <t>AUD</t>
        </is>
      </c>
      <c r="M49" t="n">
        <v>0</v>
      </c>
      <c r="N49" t="inlineStr">
        <is>
          <t>AUD</t>
        </is>
      </c>
      <c r="O49" t="n">
        <v>0</v>
      </c>
      <c r="P49" t="inlineStr">
        <is>
          <t>AUD</t>
        </is>
      </c>
      <c r="Q49" t="n">
        <v>30</v>
      </c>
    </row>
    <row r="50">
      <c r="A50" t="inlineStr">
        <is>
          <t>2020-09-23_CBA.AX</t>
        </is>
      </c>
      <c r="B50" t="inlineStr">
        <is>
          <t>CBA</t>
        </is>
      </c>
      <c r="C50" s="5" t="n">
        <v>44097</v>
      </c>
      <c r="D50" t="n">
        <v>24</v>
      </c>
      <c r="F50" t="inlineStr">
        <is>
          <t>LOCAL</t>
        </is>
      </c>
      <c r="G50" t="n">
        <v>0</v>
      </c>
      <c r="H50" t="inlineStr">
        <is>
          <t>AUD</t>
        </is>
      </c>
      <c r="I50" t="n">
        <v>0.98</v>
      </c>
      <c r="J50" t="inlineStr">
        <is>
          <t>AUD</t>
        </is>
      </c>
      <c r="K50" t="n">
        <v>0</v>
      </c>
      <c r="L50" t="inlineStr">
        <is>
          <t>AUD</t>
        </is>
      </c>
      <c r="M50" t="n">
        <v>0</v>
      </c>
      <c r="N50" t="inlineStr">
        <is>
          <t>AUD</t>
        </is>
      </c>
      <c r="O50" t="n">
        <v>0</v>
      </c>
      <c r="P50" t="inlineStr">
        <is>
          <t>AUD</t>
        </is>
      </c>
      <c r="Q50" t="n">
        <v>30</v>
      </c>
    </row>
    <row r="51">
      <c r="A51" t="inlineStr">
        <is>
          <t>2020-09-24_BHP.AX</t>
        </is>
      </c>
      <c r="B51" t="inlineStr">
        <is>
          <t>BHP</t>
        </is>
      </c>
      <c r="C51" s="5" t="n">
        <v>44098</v>
      </c>
      <c r="D51" t="n">
        <v>95</v>
      </c>
      <c r="F51" t="inlineStr">
        <is>
          <t>LOCAL</t>
        </is>
      </c>
      <c r="G51" t="n">
        <v>0</v>
      </c>
      <c r="H51" t="inlineStr">
        <is>
          <t>AUD</t>
        </is>
      </c>
      <c r="I51" t="n">
        <v>0.754561</v>
      </c>
      <c r="J51" t="inlineStr">
        <is>
          <t>AUD</t>
        </is>
      </c>
      <c r="K51" t="n">
        <v>0</v>
      </c>
      <c r="L51" t="inlineStr">
        <is>
          <t>AUD</t>
        </is>
      </c>
      <c r="M51" t="n">
        <v>0</v>
      </c>
      <c r="N51" t="inlineStr">
        <is>
          <t>AUD</t>
        </is>
      </c>
      <c r="O51" t="n">
        <v>0</v>
      </c>
      <c r="P51" t="inlineStr">
        <is>
          <t>AUD</t>
        </is>
      </c>
      <c r="Q51" t="n">
        <v>30</v>
      </c>
    </row>
    <row r="52">
      <c r="A52" t="inlineStr">
        <is>
          <t>2020-11-09_AAPL</t>
        </is>
      </c>
      <c r="B52" t="inlineStr">
        <is>
          <t>AAPL</t>
        </is>
      </c>
      <c r="C52" s="5" t="n">
        <v>44144</v>
      </c>
      <c r="D52" t="n">
        <v>122</v>
      </c>
      <c r="F52" t="inlineStr">
        <is>
          <t>FOREIGN</t>
        </is>
      </c>
      <c r="G52" t="n">
        <v>0.205</v>
      </c>
      <c r="H52" t="inlineStr">
        <is>
          <t>USD</t>
        </is>
      </c>
      <c r="I52" t="n">
        <v>0</v>
      </c>
      <c r="J52" t="inlineStr">
        <is>
          <t>USD</t>
        </is>
      </c>
      <c r="K52" t="n">
        <v>0</v>
      </c>
      <c r="L52" t="inlineStr">
        <is>
          <t>USD</t>
        </is>
      </c>
      <c r="M52" t="n">
        <v>3.75</v>
      </c>
      <c r="N52" t="inlineStr">
        <is>
          <t>USD</t>
        </is>
      </c>
      <c r="O52" t="n">
        <v>0</v>
      </c>
      <c r="P52" t="inlineStr">
        <is>
          <t>USD</t>
        </is>
      </c>
      <c r="Q52" t="n">
        <v>30</v>
      </c>
    </row>
    <row r="53">
      <c r="A53" t="inlineStr">
        <is>
          <t>2020-12-09_MSFT</t>
        </is>
      </c>
      <c r="B53" t="inlineStr">
        <is>
          <t>MSFT</t>
        </is>
      </c>
      <c r="C53" s="5" t="n">
        <v>44174</v>
      </c>
      <c r="D53" t="n">
        <v>82</v>
      </c>
      <c r="F53" t="inlineStr">
        <is>
          <t>FOREIGN</t>
        </is>
      </c>
      <c r="G53" t="n">
        <v>0.5600000000000001</v>
      </c>
      <c r="H53" t="inlineStr">
        <is>
          <t>USD</t>
        </is>
      </c>
      <c r="I53" t="n">
        <v>0</v>
      </c>
      <c r="J53" t="inlineStr">
        <is>
          <t>USD</t>
        </is>
      </c>
      <c r="K53" t="n">
        <v>0</v>
      </c>
      <c r="L53" t="inlineStr">
        <is>
          <t>USD</t>
        </is>
      </c>
      <c r="M53" t="n">
        <v>6.89</v>
      </c>
      <c r="N53" t="inlineStr">
        <is>
          <t>USD</t>
        </is>
      </c>
      <c r="O53" t="n">
        <v>0</v>
      </c>
      <c r="P53" t="inlineStr">
        <is>
          <t>USD</t>
        </is>
      </c>
      <c r="Q53" t="n">
        <v>30</v>
      </c>
    </row>
    <row r="54">
      <c r="A54" t="inlineStr">
        <is>
          <t>2021-02-08_AAPL</t>
        </is>
      </c>
      <c r="B54" t="inlineStr">
        <is>
          <t>AAPL</t>
        </is>
      </c>
      <c r="C54" s="5" t="n">
        <v>44235</v>
      </c>
      <c r="D54" t="n">
        <v>122</v>
      </c>
      <c r="F54" t="inlineStr">
        <is>
          <t>FOREIGN</t>
        </is>
      </c>
      <c r="G54" t="n">
        <v>0.205</v>
      </c>
      <c r="H54" t="inlineStr">
        <is>
          <t>USD</t>
        </is>
      </c>
      <c r="I54" t="n">
        <v>0</v>
      </c>
      <c r="J54" t="inlineStr">
        <is>
          <t>USD</t>
        </is>
      </c>
      <c r="K54" t="n">
        <v>0</v>
      </c>
      <c r="L54" t="inlineStr">
        <is>
          <t>USD</t>
        </is>
      </c>
      <c r="M54" t="n">
        <v>3.75</v>
      </c>
      <c r="N54" t="inlineStr">
        <is>
          <t>USD</t>
        </is>
      </c>
      <c r="O54" t="n">
        <v>0</v>
      </c>
      <c r="P54" t="inlineStr">
        <is>
          <t>USD</t>
        </is>
      </c>
      <c r="Q54" t="n">
        <v>30</v>
      </c>
    </row>
    <row r="55">
      <c r="A55" t="inlineStr">
        <is>
          <t>2021-03-10_MSFT</t>
        </is>
      </c>
      <c r="B55" t="inlineStr">
        <is>
          <t>MSFT</t>
        </is>
      </c>
      <c r="C55" s="5" t="n">
        <v>44265</v>
      </c>
      <c r="D55" t="n">
        <v>82</v>
      </c>
      <c r="F55" t="inlineStr">
        <is>
          <t>FOREIGN</t>
        </is>
      </c>
      <c r="G55" t="n">
        <v>0.5600000000000001</v>
      </c>
      <c r="H55" t="inlineStr">
        <is>
          <t>USD</t>
        </is>
      </c>
      <c r="I55" t="n">
        <v>0</v>
      </c>
      <c r="J55" t="inlineStr">
        <is>
          <t>USD</t>
        </is>
      </c>
      <c r="K55" t="n">
        <v>0</v>
      </c>
      <c r="L55" t="inlineStr">
        <is>
          <t>USD</t>
        </is>
      </c>
      <c r="M55" t="n">
        <v>6.89</v>
      </c>
      <c r="N55" t="inlineStr">
        <is>
          <t>USD</t>
        </is>
      </c>
      <c r="O55" t="n">
        <v>0</v>
      </c>
      <c r="P55" t="inlineStr">
        <is>
          <t>USD</t>
        </is>
      </c>
      <c r="Q55" t="n">
        <v>30</v>
      </c>
    </row>
    <row r="56">
      <c r="A56" t="inlineStr">
        <is>
          <t>2021-03-19_WES.AX</t>
        </is>
      </c>
      <c r="B56" t="inlineStr">
        <is>
          <t>WES</t>
        </is>
      </c>
      <c r="C56" s="5" t="n">
        <v>44274</v>
      </c>
      <c r="D56" t="n">
        <v>65</v>
      </c>
      <c r="F56" t="inlineStr">
        <is>
          <t>LOCAL</t>
        </is>
      </c>
      <c r="G56" t="n">
        <v>0</v>
      </c>
      <c r="H56" t="inlineStr">
        <is>
          <t>AUD</t>
        </is>
      </c>
      <c r="I56" t="n">
        <v>0.88</v>
      </c>
      <c r="J56" t="inlineStr">
        <is>
          <t>AUD</t>
        </is>
      </c>
      <c r="K56" t="n">
        <v>0</v>
      </c>
      <c r="L56" t="inlineStr">
        <is>
          <t>AUD</t>
        </is>
      </c>
      <c r="M56" t="n">
        <v>0</v>
      </c>
      <c r="N56" t="inlineStr">
        <is>
          <t>AUD</t>
        </is>
      </c>
      <c r="O56" t="n">
        <v>0</v>
      </c>
      <c r="P56" t="inlineStr">
        <is>
          <t>AUD</t>
        </is>
      </c>
      <c r="Q56" t="n">
        <v>30</v>
      </c>
    </row>
    <row r="57">
      <c r="A57" t="inlineStr">
        <is>
          <t>2021-03-23_CBA.AX</t>
        </is>
      </c>
      <c r="B57" t="inlineStr">
        <is>
          <t>CBA</t>
        </is>
      </c>
      <c r="C57" s="5" t="n">
        <v>44278</v>
      </c>
      <c r="D57" t="n">
        <v>24</v>
      </c>
      <c r="F57" t="inlineStr">
        <is>
          <t>LOCAL</t>
        </is>
      </c>
      <c r="G57" t="n">
        <v>0</v>
      </c>
      <c r="H57" t="inlineStr">
        <is>
          <t>AUD</t>
        </is>
      </c>
      <c r="I57" t="n">
        <v>1.5</v>
      </c>
      <c r="J57" t="inlineStr">
        <is>
          <t>AUD</t>
        </is>
      </c>
      <c r="K57" t="n">
        <v>0</v>
      </c>
      <c r="L57" t="inlineStr">
        <is>
          <t>AUD</t>
        </is>
      </c>
      <c r="M57" t="n">
        <v>0</v>
      </c>
      <c r="N57" t="inlineStr">
        <is>
          <t>AUD</t>
        </is>
      </c>
      <c r="O57" t="n">
        <v>0</v>
      </c>
      <c r="P57" t="inlineStr">
        <is>
          <t>AUD</t>
        </is>
      </c>
      <c r="Q57" t="n">
        <v>30</v>
      </c>
    </row>
    <row r="58">
      <c r="A58" t="inlineStr">
        <is>
          <t>2021-03-25_BHP.AX</t>
        </is>
      </c>
      <c r="B58" t="inlineStr">
        <is>
          <t>BHP</t>
        </is>
      </c>
      <c r="C58" s="5" t="n">
        <v>44280</v>
      </c>
      <c r="D58" t="n">
        <v>95</v>
      </c>
      <c r="F58" t="inlineStr">
        <is>
          <t>LOCAL</t>
        </is>
      </c>
      <c r="G58" t="n">
        <v>0</v>
      </c>
      <c r="H58" t="inlineStr">
        <is>
          <t>AUD</t>
        </is>
      </c>
      <c r="I58" t="n">
        <v>1.311347</v>
      </c>
      <c r="J58" t="inlineStr">
        <is>
          <t>AUD</t>
        </is>
      </c>
      <c r="K58" t="n">
        <v>0</v>
      </c>
      <c r="L58" t="inlineStr">
        <is>
          <t>AUD</t>
        </is>
      </c>
      <c r="M58" t="n">
        <v>0</v>
      </c>
      <c r="N58" t="inlineStr">
        <is>
          <t>AUD</t>
        </is>
      </c>
      <c r="O58" t="n">
        <v>0</v>
      </c>
      <c r="P58" t="inlineStr">
        <is>
          <t>AUD</t>
        </is>
      </c>
      <c r="Q58" t="n">
        <v>30</v>
      </c>
    </row>
    <row r="59">
      <c r="A59" t="inlineStr">
        <is>
          <t>2021-05-10_AAPL</t>
        </is>
      </c>
      <c r="B59" t="inlineStr">
        <is>
          <t>AAPL</t>
        </is>
      </c>
      <c r="C59" s="5" t="n">
        <v>44326</v>
      </c>
      <c r="D59" t="n">
        <v>122</v>
      </c>
      <c r="F59" t="inlineStr">
        <is>
          <t>FOREIGN</t>
        </is>
      </c>
      <c r="G59" t="n">
        <v>0.22</v>
      </c>
      <c r="H59" t="inlineStr">
        <is>
          <t>USD</t>
        </is>
      </c>
      <c r="I59" t="n">
        <v>0</v>
      </c>
      <c r="J59" t="inlineStr">
        <is>
          <t>USD</t>
        </is>
      </c>
      <c r="K59" t="n">
        <v>0</v>
      </c>
      <c r="L59" t="inlineStr">
        <is>
          <t>USD</t>
        </is>
      </c>
      <c r="M59" t="n">
        <v>4.03</v>
      </c>
      <c r="N59" t="inlineStr">
        <is>
          <t>USD</t>
        </is>
      </c>
      <c r="O59" t="n">
        <v>0</v>
      </c>
      <c r="P59" t="inlineStr">
        <is>
          <t>USD</t>
        </is>
      </c>
      <c r="Q59" t="n">
        <v>30</v>
      </c>
    </row>
    <row r="60">
      <c r="A60" t="inlineStr">
        <is>
          <t>2021-06-09_MSFT</t>
        </is>
      </c>
      <c r="B60" t="inlineStr">
        <is>
          <t>MSFT</t>
        </is>
      </c>
      <c r="C60" s="5" t="n">
        <v>44356</v>
      </c>
      <c r="D60" t="n">
        <v>85</v>
      </c>
      <c r="F60" t="inlineStr">
        <is>
          <t>FOREIGN</t>
        </is>
      </c>
      <c r="G60" t="n">
        <v>0.5600000000000001</v>
      </c>
      <c r="H60" t="inlineStr">
        <is>
          <t>USD</t>
        </is>
      </c>
      <c r="I60" t="n">
        <v>0</v>
      </c>
      <c r="J60" t="inlineStr">
        <is>
          <t>USD</t>
        </is>
      </c>
      <c r="K60" t="n">
        <v>0</v>
      </c>
      <c r="L60" t="inlineStr">
        <is>
          <t>USD</t>
        </is>
      </c>
      <c r="M60" t="n">
        <v>7.14</v>
      </c>
      <c r="N60" t="inlineStr">
        <is>
          <t>USD</t>
        </is>
      </c>
      <c r="O60" t="n">
        <v>0</v>
      </c>
      <c r="P60" t="inlineStr">
        <is>
          <t>USD</t>
        </is>
      </c>
      <c r="Q60" t="n">
        <v>30</v>
      </c>
    </row>
    <row r="61">
      <c r="A61" t="inlineStr">
        <is>
          <t>2021-08-09_AAPL</t>
        </is>
      </c>
      <c r="B61" t="inlineStr">
        <is>
          <t>AAPL</t>
        </is>
      </c>
      <c r="C61" s="5" t="n">
        <v>44417</v>
      </c>
      <c r="D61" t="n">
        <v>122</v>
      </c>
      <c r="F61" t="inlineStr">
        <is>
          <t>FOREIGN</t>
        </is>
      </c>
      <c r="G61" t="n">
        <v>0.22</v>
      </c>
      <c r="H61" t="inlineStr">
        <is>
          <t>USD</t>
        </is>
      </c>
      <c r="I61" t="n">
        <v>0</v>
      </c>
      <c r="J61" t="inlineStr">
        <is>
          <t>USD</t>
        </is>
      </c>
      <c r="K61" t="n">
        <v>0</v>
      </c>
      <c r="L61" t="inlineStr">
        <is>
          <t>USD</t>
        </is>
      </c>
      <c r="M61" t="n">
        <v>4.03</v>
      </c>
      <c r="N61" t="inlineStr">
        <is>
          <t>USD</t>
        </is>
      </c>
      <c r="O61" t="n">
        <v>0</v>
      </c>
      <c r="P61" t="inlineStr">
        <is>
          <t>USD</t>
        </is>
      </c>
      <c r="Q61" t="n">
        <v>30</v>
      </c>
    </row>
    <row r="62">
      <c r="A62" t="inlineStr">
        <is>
          <t>2021-09-08_MSFT</t>
        </is>
      </c>
      <c r="B62" t="inlineStr">
        <is>
          <t>MSFT</t>
        </is>
      </c>
      <c r="C62" s="5" t="n">
        <v>44447</v>
      </c>
      <c r="D62" t="n">
        <v>85</v>
      </c>
      <c r="F62" t="inlineStr">
        <is>
          <t>FOREIGN</t>
        </is>
      </c>
      <c r="G62" t="n">
        <v>0.5600000000000001</v>
      </c>
      <c r="H62" t="inlineStr">
        <is>
          <t>USD</t>
        </is>
      </c>
      <c r="I62" t="n">
        <v>0</v>
      </c>
      <c r="J62" t="inlineStr">
        <is>
          <t>USD</t>
        </is>
      </c>
      <c r="K62" t="n">
        <v>0</v>
      </c>
      <c r="L62" t="inlineStr">
        <is>
          <t>USD</t>
        </is>
      </c>
      <c r="M62" t="n">
        <v>7.14</v>
      </c>
      <c r="N62" t="inlineStr">
        <is>
          <t>USD</t>
        </is>
      </c>
      <c r="O62" t="n">
        <v>0</v>
      </c>
      <c r="P62" t="inlineStr">
        <is>
          <t>USD</t>
        </is>
      </c>
      <c r="Q62" t="n">
        <v>30</v>
      </c>
    </row>
    <row r="63">
      <c r="A63" t="inlineStr">
        <is>
          <t>2021-09-21_CBA.AX</t>
        </is>
      </c>
      <c r="B63" t="inlineStr">
        <is>
          <t>CBA</t>
        </is>
      </c>
      <c r="C63" s="5" t="n">
        <v>44460</v>
      </c>
      <c r="D63" t="n">
        <v>31</v>
      </c>
      <c r="F63" t="inlineStr">
        <is>
          <t>LOCAL</t>
        </is>
      </c>
      <c r="G63" t="n">
        <v>0</v>
      </c>
      <c r="H63" t="inlineStr">
        <is>
          <t>AUD</t>
        </is>
      </c>
      <c r="I63" t="n">
        <v>2</v>
      </c>
      <c r="J63" t="inlineStr">
        <is>
          <t>AUD</t>
        </is>
      </c>
      <c r="K63" t="n">
        <v>0</v>
      </c>
      <c r="L63" t="inlineStr">
        <is>
          <t>AUD</t>
        </is>
      </c>
      <c r="M63" t="n">
        <v>0</v>
      </c>
      <c r="N63" t="inlineStr">
        <is>
          <t>AUD</t>
        </is>
      </c>
      <c r="O63" t="n">
        <v>0</v>
      </c>
      <c r="P63" t="inlineStr">
        <is>
          <t>AUD</t>
        </is>
      </c>
      <c r="Q63" t="n">
        <v>30</v>
      </c>
    </row>
    <row r="64">
      <c r="A64" t="inlineStr">
        <is>
          <t>2021-09-23_BHP.AX</t>
        </is>
      </c>
      <c r="B64" t="inlineStr">
        <is>
          <t>BHP</t>
        </is>
      </c>
      <c r="C64" s="5" t="n">
        <v>44462</v>
      </c>
      <c r="D64" t="n">
        <v>95</v>
      </c>
      <c r="F64" t="inlineStr">
        <is>
          <t>LOCAL</t>
        </is>
      </c>
      <c r="G64" t="n">
        <v>0</v>
      </c>
      <c r="H64" t="inlineStr">
        <is>
          <t>AUD</t>
        </is>
      </c>
      <c r="I64" t="n">
        <v>2.71527</v>
      </c>
      <c r="J64" t="inlineStr">
        <is>
          <t>AUD</t>
        </is>
      </c>
      <c r="K64" t="n">
        <v>0</v>
      </c>
      <c r="L64" t="inlineStr">
        <is>
          <t>AUD</t>
        </is>
      </c>
      <c r="M64" t="n">
        <v>0</v>
      </c>
      <c r="N64" t="inlineStr">
        <is>
          <t>AUD</t>
        </is>
      </c>
      <c r="O64" t="n">
        <v>0</v>
      </c>
      <c r="P64" t="inlineStr">
        <is>
          <t>AUD</t>
        </is>
      </c>
      <c r="Q64" t="n">
        <v>30</v>
      </c>
    </row>
    <row r="65">
      <c r="A65" t="inlineStr">
        <is>
          <t>2021-09-25_WES.AX</t>
        </is>
      </c>
      <c r="B65" t="inlineStr">
        <is>
          <t>WES</t>
        </is>
      </c>
      <c r="C65" s="5" t="n">
        <v>44464</v>
      </c>
      <c r="D65" t="n">
        <v>65</v>
      </c>
      <c r="F65" t="inlineStr">
        <is>
          <t>LOCAL</t>
        </is>
      </c>
      <c r="G65" t="n">
        <v>0</v>
      </c>
      <c r="H65" t="inlineStr">
        <is>
          <t>AUD</t>
        </is>
      </c>
      <c r="I65" t="n">
        <v>0.9</v>
      </c>
      <c r="J65" t="inlineStr">
        <is>
          <t>AUD</t>
        </is>
      </c>
      <c r="K65" t="n">
        <v>0</v>
      </c>
      <c r="L65" t="inlineStr">
        <is>
          <t>AUD</t>
        </is>
      </c>
      <c r="M65" t="n">
        <v>0</v>
      </c>
      <c r="N65" t="inlineStr">
        <is>
          <t>AUD</t>
        </is>
      </c>
      <c r="O65" t="n">
        <v>0</v>
      </c>
      <c r="P65" t="inlineStr">
        <is>
          <t>AUD</t>
        </is>
      </c>
      <c r="Q65" t="n">
        <v>30</v>
      </c>
    </row>
    <row r="66">
      <c r="A66" t="inlineStr">
        <is>
          <t>2021-11-08_AAPL</t>
        </is>
      </c>
      <c r="B66" t="inlineStr">
        <is>
          <t>AAPL</t>
        </is>
      </c>
      <c r="C66" s="5" t="n">
        <v>44508</v>
      </c>
      <c r="D66" t="n">
        <v>122</v>
      </c>
      <c r="F66" t="inlineStr">
        <is>
          <t>FOREIGN</t>
        </is>
      </c>
      <c r="G66" t="n">
        <v>0.22</v>
      </c>
      <c r="H66" t="inlineStr">
        <is>
          <t>USD</t>
        </is>
      </c>
      <c r="I66" t="n">
        <v>0</v>
      </c>
      <c r="J66" t="inlineStr">
        <is>
          <t>USD</t>
        </is>
      </c>
      <c r="K66" t="n">
        <v>0</v>
      </c>
      <c r="L66" t="inlineStr">
        <is>
          <t>USD</t>
        </is>
      </c>
      <c r="M66" t="n">
        <v>4.03</v>
      </c>
      <c r="N66" t="inlineStr">
        <is>
          <t>USD</t>
        </is>
      </c>
      <c r="O66" t="n">
        <v>0</v>
      </c>
      <c r="P66" t="inlineStr">
        <is>
          <t>USD</t>
        </is>
      </c>
      <c r="Q66" t="n">
        <v>30</v>
      </c>
    </row>
    <row r="67">
      <c r="A67" t="inlineStr">
        <is>
          <t>2021-12-08_MSFT</t>
        </is>
      </c>
      <c r="B67" t="inlineStr">
        <is>
          <t>MSFT</t>
        </is>
      </c>
      <c r="C67" s="5" t="n">
        <v>44538</v>
      </c>
      <c r="D67" t="n">
        <v>88</v>
      </c>
      <c r="F67" t="inlineStr">
        <is>
          <t>FOREIGN</t>
        </is>
      </c>
      <c r="G67" t="n">
        <v>0.62</v>
      </c>
      <c r="H67" t="inlineStr">
        <is>
          <t>USD</t>
        </is>
      </c>
      <c r="I67" t="n">
        <v>0</v>
      </c>
      <c r="J67" t="inlineStr">
        <is>
          <t>USD</t>
        </is>
      </c>
      <c r="K67" t="n">
        <v>0</v>
      </c>
      <c r="L67" t="inlineStr">
        <is>
          <t>USD</t>
        </is>
      </c>
      <c r="M67" t="n">
        <v>8.18</v>
      </c>
      <c r="N67" t="inlineStr">
        <is>
          <t>USD</t>
        </is>
      </c>
      <c r="O67" t="n">
        <v>0</v>
      </c>
      <c r="P67" t="inlineStr">
        <is>
          <t>USD</t>
        </is>
      </c>
      <c r="Q67" t="n">
        <v>30</v>
      </c>
    </row>
    <row r="68">
      <c r="A68" t="inlineStr">
        <is>
          <t>2021-12-12_WES.AX</t>
        </is>
      </c>
      <c r="B68" t="inlineStr">
        <is>
          <t>WES</t>
        </is>
      </c>
      <c r="C68" s="5" t="n">
        <v>44542</v>
      </c>
      <c r="D68" t="n">
        <v>65</v>
      </c>
      <c r="F68" t="inlineStr">
        <is>
          <t>LOCAL</t>
        </is>
      </c>
      <c r="G68" t="n">
        <v>0</v>
      </c>
      <c r="H68" t="inlineStr">
        <is>
          <t>AUD</t>
        </is>
      </c>
      <c r="I68" t="n">
        <v>2</v>
      </c>
      <c r="J68" t="inlineStr">
        <is>
          <t>AUD</t>
        </is>
      </c>
      <c r="K68" t="n">
        <v>0</v>
      </c>
      <c r="L68" t="inlineStr">
        <is>
          <t>AUD</t>
        </is>
      </c>
      <c r="M68" t="n">
        <v>0</v>
      </c>
      <c r="N68" t="inlineStr">
        <is>
          <t>AUD</t>
        </is>
      </c>
      <c r="O68" t="n">
        <v>0</v>
      </c>
      <c r="P68" t="inlineStr">
        <is>
          <t>AUD</t>
        </is>
      </c>
      <c r="Q68" t="n">
        <v>30</v>
      </c>
    </row>
    <row r="69">
      <c r="A69" t="inlineStr">
        <is>
          <t>2022-02-07_AAPL</t>
        </is>
      </c>
      <c r="B69" t="inlineStr">
        <is>
          <t>AAPL</t>
        </is>
      </c>
      <c r="C69" s="5" t="n">
        <v>44599</v>
      </c>
      <c r="D69" t="n">
        <v>134</v>
      </c>
      <c r="F69" t="inlineStr">
        <is>
          <t>FOREIGN</t>
        </is>
      </c>
      <c r="G69" t="n">
        <v>0.22</v>
      </c>
      <c r="H69" t="inlineStr">
        <is>
          <t>USD</t>
        </is>
      </c>
      <c r="I69" t="n">
        <v>0</v>
      </c>
      <c r="J69" t="inlineStr">
        <is>
          <t>USD</t>
        </is>
      </c>
      <c r="K69" t="n">
        <v>0</v>
      </c>
      <c r="L69" t="inlineStr">
        <is>
          <t>USD</t>
        </is>
      </c>
      <c r="M69" t="n">
        <v>4.42</v>
      </c>
      <c r="N69" t="inlineStr">
        <is>
          <t>USD</t>
        </is>
      </c>
      <c r="O69" t="n">
        <v>0</v>
      </c>
      <c r="P69" t="inlineStr">
        <is>
          <t>USD</t>
        </is>
      </c>
      <c r="Q69" t="n">
        <v>30</v>
      </c>
    </row>
    <row r="70">
      <c r="A70" t="inlineStr">
        <is>
          <t>2022-03-09_MSFT</t>
        </is>
      </c>
      <c r="B70" t="inlineStr">
        <is>
          <t>MSFT</t>
        </is>
      </c>
      <c r="C70" s="5" t="n">
        <v>44629</v>
      </c>
      <c r="D70" t="n">
        <v>90</v>
      </c>
      <c r="F70" t="inlineStr">
        <is>
          <t>FOREIGN</t>
        </is>
      </c>
      <c r="G70" t="n">
        <v>0.62</v>
      </c>
      <c r="H70" t="inlineStr">
        <is>
          <t>USD</t>
        </is>
      </c>
      <c r="I70" t="n">
        <v>0</v>
      </c>
      <c r="J70" t="inlineStr">
        <is>
          <t>USD</t>
        </is>
      </c>
      <c r="K70" t="n">
        <v>0</v>
      </c>
      <c r="L70" t="inlineStr">
        <is>
          <t>USD</t>
        </is>
      </c>
      <c r="M70" t="n">
        <v>8.369999999999999</v>
      </c>
      <c r="N70" t="inlineStr">
        <is>
          <t>USD</t>
        </is>
      </c>
      <c r="O70" t="n">
        <v>0</v>
      </c>
      <c r="P70" t="inlineStr">
        <is>
          <t>USD</t>
        </is>
      </c>
      <c r="Q70" t="n">
        <v>30</v>
      </c>
    </row>
    <row r="71">
      <c r="A71" t="inlineStr">
        <is>
          <t>2022-03-17_BHP.AX</t>
        </is>
      </c>
      <c r="B71" t="inlineStr">
        <is>
          <t>BHP</t>
        </is>
      </c>
      <c r="C71" s="5" t="n">
        <v>44637</v>
      </c>
      <c r="D71" t="n">
        <v>121</v>
      </c>
      <c r="F71" t="inlineStr">
        <is>
          <t>LOCAL</t>
        </is>
      </c>
      <c r="G71" t="n">
        <v>0</v>
      </c>
      <c r="H71" t="inlineStr">
        <is>
          <t>AUD</t>
        </is>
      </c>
      <c r="I71" t="n">
        <v>2.080559</v>
      </c>
      <c r="J71" t="inlineStr">
        <is>
          <t>AUD</t>
        </is>
      </c>
      <c r="K71" t="n">
        <v>0</v>
      </c>
      <c r="L71" t="inlineStr">
        <is>
          <t>AUD</t>
        </is>
      </c>
      <c r="M71" t="n">
        <v>0</v>
      </c>
      <c r="N71" t="inlineStr">
        <is>
          <t>AUD</t>
        </is>
      </c>
      <c r="O71" t="n">
        <v>0</v>
      </c>
      <c r="P71" t="inlineStr">
        <is>
          <t>AUD</t>
        </is>
      </c>
      <c r="Q71" t="n">
        <v>30</v>
      </c>
    </row>
    <row r="72">
      <c r="A72" t="inlineStr">
        <is>
          <t>2022-03-18_WES.AX</t>
        </is>
      </c>
      <c r="B72" t="inlineStr">
        <is>
          <t>WES</t>
        </is>
      </c>
      <c r="C72" s="5" t="n">
        <v>44638</v>
      </c>
      <c r="D72" t="n">
        <v>65</v>
      </c>
      <c r="F72" t="inlineStr">
        <is>
          <t>LOCAL</t>
        </is>
      </c>
      <c r="G72" t="n">
        <v>0</v>
      </c>
      <c r="H72" t="inlineStr">
        <is>
          <t>AUD</t>
        </is>
      </c>
      <c r="I72" t="n">
        <v>0.8</v>
      </c>
      <c r="J72" t="inlineStr">
        <is>
          <t>AUD</t>
        </is>
      </c>
      <c r="K72" t="n">
        <v>0</v>
      </c>
      <c r="L72" t="inlineStr">
        <is>
          <t>AUD</t>
        </is>
      </c>
      <c r="M72" t="n">
        <v>0</v>
      </c>
      <c r="N72" t="inlineStr">
        <is>
          <t>AUD</t>
        </is>
      </c>
      <c r="O72" t="n">
        <v>0</v>
      </c>
      <c r="P72" t="inlineStr">
        <is>
          <t>AUD</t>
        </is>
      </c>
      <c r="Q72" t="n">
        <v>30</v>
      </c>
    </row>
    <row r="73">
      <c r="A73" t="inlineStr">
        <is>
          <t>2022-03-23_CBA.AX</t>
        </is>
      </c>
      <c r="B73" t="inlineStr">
        <is>
          <t>CBA</t>
        </is>
      </c>
      <c r="C73" s="5" t="n">
        <v>44643</v>
      </c>
      <c r="D73" t="n">
        <v>31</v>
      </c>
      <c r="F73" t="inlineStr">
        <is>
          <t>LOCAL</t>
        </is>
      </c>
      <c r="G73" t="n">
        <v>0</v>
      </c>
      <c r="H73" t="inlineStr">
        <is>
          <t>AUD</t>
        </is>
      </c>
      <c r="I73" t="n">
        <v>1.75</v>
      </c>
      <c r="J73" t="inlineStr">
        <is>
          <t>AUD</t>
        </is>
      </c>
      <c r="K73" t="n">
        <v>0</v>
      </c>
      <c r="L73" t="inlineStr">
        <is>
          <t>AUD</t>
        </is>
      </c>
      <c r="M73" t="n">
        <v>0</v>
      </c>
      <c r="N73" t="inlineStr">
        <is>
          <t>AUD</t>
        </is>
      </c>
      <c r="O73" t="n">
        <v>0</v>
      </c>
      <c r="P73" t="inlineStr">
        <is>
          <t>AUD</t>
        </is>
      </c>
      <c r="Q73" t="n">
        <v>30</v>
      </c>
    </row>
    <row r="74">
      <c r="A74" t="inlineStr">
        <is>
          <t>2022-05-09_AAPL</t>
        </is>
      </c>
      <c r="B74" t="inlineStr">
        <is>
          <t>AAPL</t>
        </is>
      </c>
      <c r="C74" s="5" t="n">
        <v>44690</v>
      </c>
      <c r="D74" t="n">
        <v>140</v>
      </c>
      <c r="F74" t="inlineStr">
        <is>
          <t>FOREIGN</t>
        </is>
      </c>
      <c r="G74" t="n">
        <v>0.23</v>
      </c>
      <c r="H74" t="inlineStr">
        <is>
          <t>USD</t>
        </is>
      </c>
      <c r="I74" t="n">
        <v>0</v>
      </c>
      <c r="J74" t="inlineStr">
        <is>
          <t>USD</t>
        </is>
      </c>
      <c r="K74" t="n">
        <v>0</v>
      </c>
      <c r="L74" t="inlineStr">
        <is>
          <t>USD</t>
        </is>
      </c>
      <c r="M74" t="n">
        <v>4.83</v>
      </c>
      <c r="N74" t="inlineStr">
        <is>
          <t>USD</t>
        </is>
      </c>
      <c r="O74" t="n">
        <v>0</v>
      </c>
      <c r="P74" t="inlineStr">
        <is>
          <t>USD</t>
        </is>
      </c>
      <c r="Q74" t="n">
        <v>30</v>
      </c>
    </row>
    <row r="75">
      <c r="A75" t="inlineStr">
        <is>
          <t>2022-06-08_MSFT</t>
        </is>
      </c>
      <c r="B75" t="inlineStr">
        <is>
          <t>MSFT</t>
        </is>
      </c>
      <c r="C75" s="5" t="n">
        <v>44720</v>
      </c>
      <c r="D75" t="n">
        <v>90</v>
      </c>
      <c r="F75" t="inlineStr">
        <is>
          <t>FOREIGN</t>
        </is>
      </c>
      <c r="G75" t="n">
        <v>0.62</v>
      </c>
      <c r="H75" t="inlineStr">
        <is>
          <t>USD</t>
        </is>
      </c>
      <c r="I75" t="n">
        <v>0</v>
      </c>
      <c r="J75" t="inlineStr">
        <is>
          <t>USD</t>
        </is>
      </c>
      <c r="K75" t="n">
        <v>0</v>
      </c>
      <c r="L75" t="inlineStr">
        <is>
          <t>USD</t>
        </is>
      </c>
      <c r="M75" t="n">
        <v>8.369999999999999</v>
      </c>
      <c r="N75" t="inlineStr">
        <is>
          <t>USD</t>
        </is>
      </c>
      <c r="O75" t="n">
        <v>0</v>
      </c>
      <c r="P75" t="inlineStr">
        <is>
          <t>USD</t>
        </is>
      </c>
      <c r="Q75" t="n">
        <v>30</v>
      </c>
    </row>
    <row r="76">
      <c r="A76" t="inlineStr">
        <is>
          <t>2022-08-08_AAPL</t>
        </is>
      </c>
      <c r="B76" t="inlineStr">
        <is>
          <t>AAPL</t>
        </is>
      </c>
      <c r="C76" s="5" t="n">
        <v>44781</v>
      </c>
      <c r="D76" t="n">
        <v>146</v>
      </c>
      <c r="F76" t="inlineStr">
        <is>
          <t>FOREIGN</t>
        </is>
      </c>
      <c r="G76" t="n">
        <v>0.23</v>
      </c>
      <c r="H76" t="inlineStr">
        <is>
          <t>USD</t>
        </is>
      </c>
      <c r="I76" t="n">
        <v>0</v>
      </c>
      <c r="J76" t="inlineStr">
        <is>
          <t>USD</t>
        </is>
      </c>
      <c r="K76" t="n">
        <v>0</v>
      </c>
      <c r="L76" t="inlineStr">
        <is>
          <t>USD</t>
        </is>
      </c>
      <c r="M76" t="n">
        <v>5.04</v>
      </c>
      <c r="N76" t="inlineStr">
        <is>
          <t>USD</t>
        </is>
      </c>
      <c r="O76" t="n">
        <v>0</v>
      </c>
      <c r="P76" t="inlineStr">
        <is>
          <t>USD</t>
        </is>
      </c>
      <c r="Q76" t="n">
        <v>30</v>
      </c>
    </row>
    <row r="77">
      <c r="A77" t="inlineStr">
        <is>
          <t>2022-09-07_MSFT</t>
        </is>
      </c>
      <c r="B77" t="inlineStr">
        <is>
          <t>MSFT</t>
        </is>
      </c>
      <c r="C77" s="5" t="n">
        <v>44811</v>
      </c>
      <c r="D77" t="n">
        <v>93</v>
      </c>
      <c r="F77" t="inlineStr">
        <is>
          <t>FOREIGN</t>
        </is>
      </c>
      <c r="G77" t="n">
        <v>0.62</v>
      </c>
      <c r="H77" t="inlineStr">
        <is>
          <t>USD</t>
        </is>
      </c>
      <c r="I77" t="n">
        <v>0</v>
      </c>
      <c r="J77" t="inlineStr">
        <is>
          <t>USD</t>
        </is>
      </c>
      <c r="K77" t="n">
        <v>0</v>
      </c>
      <c r="L77" t="inlineStr">
        <is>
          <t>USD</t>
        </is>
      </c>
      <c r="M77" t="n">
        <v>8.65</v>
      </c>
      <c r="N77" t="inlineStr">
        <is>
          <t>USD</t>
        </is>
      </c>
      <c r="O77" t="n">
        <v>0</v>
      </c>
      <c r="P77" t="inlineStr">
        <is>
          <t>USD</t>
        </is>
      </c>
      <c r="Q77" t="n">
        <v>30</v>
      </c>
    </row>
    <row r="78">
      <c r="A78" t="inlineStr">
        <is>
          <t>2022-09-21_CBA.AX</t>
        </is>
      </c>
      <c r="B78" t="inlineStr">
        <is>
          <t>CBA</t>
        </is>
      </c>
      <c r="C78" s="5" t="n">
        <v>44825</v>
      </c>
      <c r="D78" t="n">
        <v>31</v>
      </c>
      <c r="F78" t="inlineStr">
        <is>
          <t>LOCAL</t>
        </is>
      </c>
      <c r="G78" t="n">
        <v>0</v>
      </c>
      <c r="H78" t="inlineStr">
        <is>
          <t>AUD</t>
        </is>
      </c>
      <c r="I78" t="n">
        <v>2.1</v>
      </c>
      <c r="J78" t="inlineStr">
        <is>
          <t>AUD</t>
        </is>
      </c>
      <c r="K78" t="n">
        <v>0</v>
      </c>
      <c r="L78" t="inlineStr">
        <is>
          <t>AUD</t>
        </is>
      </c>
      <c r="M78" t="n">
        <v>0</v>
      </c>
      <c r="N78" t="inlineStr">
        <is>
          <t>AUD</t>
        </is>
      </c>
      <c r="O78" t="n">
        <v>0</v>
      </c>
      <c r="P78" t="inlineStr">
        <is>
          <t>AUD</t>
        </is>
      </c>
      <c r="Q78" t="n">
        <v>30</v>
      </c>
    </row>
    <row r="79">
      <c r="A79" t="inlineStr">
        <is>
          <t>2022-09-22_BHP.AX</t>
        </is>
      </c>
      <c r="B79" t="inlineStr">
        <is>
          <t>BHP</t>
        </is>
      </c>
      <c r="C79" s="5" t="n">
        <v>44826</v>
      </c>
      <c r="D79" t="n">
        <v>121</v>
      </c>
      <c r="F79" t="inlineStr">
        <is>
          <t>LOCAL</t>
        </is>
      </c>
      <c r="G79" t="n">
        <v>0</v>
      </c>
      <c r="H79" t="inlineStr">
        <is>
          <t>AUD</t>
        </is>
      </c>
      <c r="I79" t="n">
        <v>2.551839</v>
      </c>
      <c r="J79" t="inlineStr">
        <is>
          <t>AUD</t>
        </is>
      </c>
      <c r="K79" t="n">
        <v>0</v>
      </c>
      <c r="L79" t="inlineStr">
        <is>
          <t>AUD</t>
        </is>
      </c>
      <c r="M79" t="n">
        <v>0</v>
      </c>
      <c r="N79" t="inlineStr">
        <is>
          <t>AUD</t>
        </is>
      </c>
      <c r="O79" t="n">
        <v>0</v>
      </c>
      <c r="P79" t="inlineStr">
        <is>
          <t>AUD</t>
        </is>
      </c>
      <c r="Q79" t="n">
        <v>30</v>
      </c>
    </row>
    <row r="80">
      <c r="A80" t="inlineStr">
        <is>
          <t>2022-11-07_AAPL</t>
        </is>
      </c>
      <c r="B80" t="inlineStr">
        <is>
          <t>AAPL</t>
        </is>
      </c>
      <c r="C80" s="5" t="n">
        <v>44872</v>
      </c>
      <c r="D80" t="n">
        <v>146</v>
      </c>
      <c r="F80" t="inlineStr">
        <is>
          <t>FOREIGN</t>
        </is>
      </c>
      <c r="G80" t="n">
        <v>0.23</v>
      </c>
      <c r="H80" t="inlineStr">
        <is>
          <t>USD</t>
        </is>
      </c>
      <c r="I80" t="n">
        <v>0</v>
      </c>
      <c r="J80" t="inlineStr">
        <is>
          <t>USD</t>
        </is>
      </c>
      <c r="K80" t="n">
        <v>0</v>
      </c>
      <c r="L80" t="inlineStr">
        <is>
          <t>USD</t>
        </is>
      </c>
      <c r="M80" t="n">
        <v>5.04</v>
      </c>
      <c r="N80" t="inlineStr">
        <is>
          <t>USD</t>
        </is>
      </c>
      <c r="O80" t="n">
        <v>0</v>
      </c>
      <c r="P80" t="inlineStr">
        <is>
          <t>USD</t>
        </is>
      </c>
      <c r="Q80" t="n">
        <v>30</v>
      </c>
    </row>
    <row r="81">
      <c r="A81" t="inlineStr">
        <is>
          <t>2022-12-07_MSFT</t>
        </is>
      </c>
      <c r="B81" t="inlineStr">
        <is>
          <t>MSFT</t>
        </is>
      </c>
      <c r="C81" s="5" t="n">
        <v>44902</v>
      </c>
      <c r="D81" t="n">
        <v>95</v>
      </c>
      <c r="F81" t="inlineStr">
        <is>
          <t>FOREIGN</t>
        </is>
      </c>
      <c r="G81" t="n">
        <v>0.68</v>
      </c>
      <c r="H81" t="inlineStr">
        <is>
          <t>USD</t>
        </is>
      </c>
      <c r="I81" t="n">
        <v>0</v>
      </c>
      <c r="J81" t="inlineStr">
        <is>
          <t>USD</t>
        </is>
      </c>
      <c r="K81" t="n">
        <v>0</v>
      </c>
      <c r="L81" t="inlineStr">
        <is>
          <t>USD</t>
        </is>
      </c>
      <c r="M81" t="n">
        <v>9.69</v>
      </c>
      <c r="N81" t="inlineStr">
        <is>
          <t>USD</t>
        </is>
      </c>
      <c r="O81" t="n">
        <v>0</v>
      </c>
      <c r="P81" t="inlineStr">
        <is>
          <t>USD</t>
        </is>
      </c>
      <c r="Q81" t="n">
        <v>30</v>
      </c>
    </row>
    <row r="82">
      <c r="A82" t="inlineStr">
        <is>
          <t>2023-02-13_AAPL</t>
        </is>
      </c>
      <c r="B82" t="inlineStr">
        <is>
          <t>AAPL</t>
        </is>
      </c>
      <c r="C82" s="5" t="n">
        <v>44970</v>
      </c>
      <c r="D82" t="n">
        <v>146</v>
      </c>
      <c r="F82" t="inlineStr">
        <is>
          <t>FOREIGN</t>
        </is>
      </c>
      <c r="G82" t="n">
        <v>0.23</v>
      </c>
      <c r="H82" t="inlineStr">
        <is>
          <t>USD</t>
        </is>
      </c>
      <c r="I82" t="n">
        <v>0</v>
      </c>
      <c r="J82" t="inlineStr">
        <is>
          <t>USD</t>
        </is>
      </c>
      <c r="K82" t="n">
        <v>0</v>
      </c>
      <c r="L82" t="inlineStr">
        <is>
          <t>USD</t>
        </is>
      </c>
      <c r="M82" t="n">
        <v>5.04</v>
      </c>
      <c r="N82" t="inlineStr">
        <is>
          <t>USD</t>
        </is>
      </c>
      <c r="O82" t="n">
        <v>0</v>
      </c>
      <c r="P82" t="inlineStr">
        <is>
          <t>USD</t>
        </is>
      </c>
      <c r="Q82" t="n">
        <v>30</v>
      </c>
    </row>
    <row r="83">
      <c r="A83" t="inlineStr">
        <is>
          <t>2023-03-08_MSFT</t>
        </is>
      </c>
      <c r="B83" t="inlineStr">
        <is>
          <t>MSFT</t>
        </is>
      </c>
      <c r="C83" s="5" t="n">
        <v>44993</v>
      </c>
      <c r="D83" t="n">
        <v>95</v>
      </c>
      <c r="F83" t="inlineStr">
        <is>
          <t>FOREIGN</t>
        </is>
      </c>
      <c r="G83" t="n">
        <v>0.68</v>
      </c>
      <c r="H83" t="inlineStr">
        <is>
          <t>USD</t>
        </is>
      </c>
      <c r="I83" t="n">
        <v>0</v>
      </c>
      <c r="J83" t="inlineStr">
        <is>
          <t>USD</t>
        </is>
      </c>
      <c r="K83" t="n">
        <v>0</v>
      </c>
      <c r="L83" t="inlineStr">
        <is>
          <t>USD</t>
        </is>
      </c>
      <c r="M83" t="n">
        <v>9.69</v>
      </c>
      <c r="N83" t="inlineStr">
        <is>
          <t>USD</t>
        </is>
      </c>
      <c r="O83" t="n">
        <v>0</v>
      </c>
      <c r="P83" t="inlineStr">
        <is>
          <t>USD</t>
        </is>
      </c>
      <c r="Q83" t="n">
        <v>30</v>
      </c>
    </row>
    <row r="84">
      <c r="A84" t="inlineStr">
        <is>
          <t>2023-03-29_CBA.AX</t>
        </is>
      </c>
      <c r="B84" t="inlineStr">
        <is>
          <t>CBA</t>
        </is>
      </c>
      <c r="C84" s="5" t="n">
        <v>45014</v>
      </c>
      <c r="D84" t="n">
        <v>31</v>
      </c>
      <c r="F84" t="inlineStr">
        <is>
          <t>LOCAL</t>
        </is>
      </c>
      <c r="G84" t="n">
        <v>0</v>
      </c>
      <c r="H84" t="inlineStr">
        <is>
          <t>AUD</t>
        </is>
      </c>
      <c r="I84" t="n">
        <v>2.1</v>
      </c>
      <c r="J84" t="inlineStr">
        <is>
          <t>AUD</t>
        </is>
      </c>
      <c r="K84" t="n">
        <v>0</v>
      </c>
      <c r="L84" t="inlineStr">
        <is>
          <t>AUD</t>
        </is>
      </c>
      <c r="M84" t="n">
        <v>0</v>
      </c>
      <c r="N84" t="inlineStr">
        <is>
          <t>AUD</t>
        </is>
      </c>
      <c r="O84" t="n">
        <v>0</v>
      </c>
      <c r="P84" t="inlineStr">
        <is>
          <t>AUD</t>
        </is>
      </c>
      <c r="Q84" t="n">
        <v>30</v>
      </c>
    </row>
    <row r="85">
      <c r="A85" t="inlineStr">
        <is>
          <t>2023-03-30_BHP.AX</t>
        </is>
      </c>
      <c r="B85" t="inlineStr">
        <is>
          <t>BHP</t>
        </is>
      </c>
      <c r="C85" s="5" t="n">
        <v>45015</v>
      </c>
      <c r="D85" t="n">
        <v>121</v>
      </c>
      <c r="F85" t="inlineStr">
        <is>
          <t>LOCAL</t>
        </is>
      </c>
      <c r="G85" t="n">
        <v>0</v>
      </c>
      <c r="H85" t="inlineStr">
        <is>
          <t>AUD</t>
        </is>
      </c>
      <c r="I85" t="n">
        <v>1.363636</v>
      </c>
      <c r="J85" t="inlineStr">
        <is>
          <t>AUD</t>
        </is>
      </c>
      <c r="K85" t="n">
        <v>0</v>
      </c>
      <c r="L85" t="inlineStr">
        <is>
          <t>AUD</t>
        </is>
      </c>
      <c r="M85" t="n">
        <v>0</v>
      </c>
      <c r="N85" t="inlineStr">
        <is>
          <t>AUD</t>
        </is>
      </c>
      <c r="O85" t="n">
        <v>0</v>
      </c>
      <c r="P85" t="inlineStr">
        <is>
          <t>AUD</t>
        </is>
      </c>
      <c r="Q85" t="n">
        <v>30</v>
      </c>
    </row>
    <row r="86">
      <c r="A86" t="inlineStr">
        <is>
          <t>2023-05-15_AAPL</t>
        </is>
      </c>
      <c r="B86" t="inlineStr">
        <is>
          <t>AAPL</t>
        </is>
      </c>
      <c r="C86" s="5" t="n">
        <v>45061</v>
      </c>
      <c r="D86" t="n">
        <v>146</v>
      </c>
      <c r="F86" t="inlineStr">
        <is>
          <t>FOREIGN</t>
        </is>
      </c>
      <c r="G86" t="n">
        <v>0.24</v>
      </c>
      <c r="H86" t="inlineStr">
        <is>
          <t>USD</t>
        </is>
      </c>
      <c r="I86" t="n">
        <v>0</v>
      </c>
      <c r="J86" t="inlineStr">
        <is>
          <t>USD</t>
        </is>
      </c>
      <c r="K86" t="n">
        <v>0</v>
      </c>
      <c r="L86" t="inlineStr">
        <is>
          <t>USD</t>
        </is>
      </c>
      <c r="M86" t="n">
        <v>5.26</v>
      </c>
      <c r="N86" t="inlineStr">
        <is>
          <t>USD</t>
        </is>
      </c>
      <c r="O86" t="n">
        <v>0</v>
      </c>
      <c r="P86" t="inlineStr">
        <is>
          <t>USD</t>
        </is>
      </c>
      <c r="Q86" t="n">
        <v>30</v>
      </c>
    </row>
    <row r="87">
      <c r="A87" t="inlineStr">
        <is>
          <t>2023-06-07_MSFT</t>
        </is>
      </c>
      <c r="B87" t="inlineStr">
        <is>
          <t>MSFT</t>
        </is>
      </c>
      <c r="C87" s="5" t="n">
        <v>45084</v>
      </c>
      <c r="D87" t="n">
        <v>98</v>
      </c>
      <c r="F87" t="inlineStr">
        <is>
          <t>FOREIGN</t>
        </is>
      </c>
      <c r="G87" t="n">
        <v>0.68</v>
      </c>
      <c r="H87" t="inlineStr">
        <is>
          <t>USD</t>
        </is>
      </c>
      <c r="I87" t="n">
        <v>0</v>
      </c>
      <c r="J87" t="inlineStr">
        <is>
          <t>USD</t>
        </is>
      </c>
      <c r="K87" t="n">
        <v>0</v>
      </c>
      <c r="L87" t="inlineStr">
        <is>
          <t>USD</t>
        </is>
      </c>
      <c r="M87" t="n">
        <v>10</v>
      </c>
      <c r="N87" t="inlineStr">
        <is>
          <t>USD</t>
        </is>
      </c>
      <c r="O87" t="n">
        <v>0</v>
      </c>
      <c r="P87" t="inlineStr">
        <is>
          <t>USD</t>
        </is>
      </c>
      <c r="Q87" t="n">
        <v>30</v>
      </c>
    </row>
    <row r="88">
      <c r="A88" t="inlineStr">
        <is>
          <t>2023-08-14_AAPL</t>
        </is>
      </c>
      <c r="B88" t="inlineStr">
        <is>
          <t>AAPL</t>
        </is>
      </c>
      <c r="C88" s="5" t="n">
        <v>45152</v>
      </c>
      <c r="D88" t="n">
        <v>149</v>
      </c>
      <c r="F88" t="inlineStr">
        <is>
          <t>FOREIGN</t>
        </is>
      </c>
      <c r="G88" t="n">
        <v>0.24</v>
      </c>
      <c r="H88" t="inlineStr">
        <is>
          <t>USD</t>
        </is>
      </c>
      <c r="I88" t="n">
        <v>0</v>
      </c>
      <c r="J88" t="inlineStr">
        <is>
          <t>USD</t>
        </is>
      </c>
      <c r="K88" t="n">
        <v>0</v>
      </c>
      <c r="L88" t="inlineStr">
        <is>
          <t>USD</t>
        </is>
      </c>
      <c r="M88" t="n">
        <v>5.36</v>
      </c>
      <c r="N88" t="inlineStr">
        <is>
          <t>USD</t>
        </is>
      </c>
      <c r="O88" t="n">
        <v>0</v>
      </c>
      <c r="P88" t="inlineStr">
        <is>
          <t>USD</t>
        </is>
      </c>
      <c r="Q88" t="n">
        <v>30</v>
      </c>
    </row>
    <row r="89">
      <c r="A89" t="inlineStr">
        <is>
          <t>2023-09-06_MSFT</t>
        </is>
      </c>
      <c r="B89" t="inlineStr">
        <is>
          <t>MSFT</t>
        </is>
      </c>
      <c r="C89" s="5" t="n">
        <v>45175</v>
      </c>
      <c r="D89" t="n">
        <v>98</v>
      </c>
      <c r="F89" t="inlineStr">
        <is>
          <t>FOREIGN</t>
        </is>
      </c>
      <c r="G89" t="n">
        <v>0.68</v>
      </c>
      <c r="H89" t="inlineStr">
        <is>
          <t>USD</t>
        </is>
      </c>
      <c r="I89" t="n">
        <v>0</v>
      </c>
      <c r="J89" t="inlineStr">
        <is>
          <t>USD</t>
        </is>
      </c>
      <c r="K89" t="n">
        <v>0</v>
      </c>
      <c r="L89" t="inlineStr">
        <is>
          <t>USD</t>
        </is>
      </c>
      <c r="M89" t="n">
        <v>10</v>
      </c>
      <c r="N89" t="inlineStr">
        <is>
          <t>USD</t>
        </is>
      </c>
      <c r="O89" t="n">
        <v>0</v>
      </c>
      <c r="P89" t="inlineStr">
        <is>
          <t>USD</t>
        </is>
      </c>
      <c r="Q89" t="n">
        <v>30</v>
      </c>
    </row>
    <row r="90">
      <c r="A90" t="inlineStr">
        <is>
          <t>2023-09-20_CBA.AX</t>
        </is>
      </c>
      <c r="B90" t="inlineStr">
        <is>
          <t>CBA</t>
        </is>
      </c>
      <c r="C90" s="5" t="n">
        <v>45189</v>
      </c>
      <c r="D90" t="n">
        <v>38</v>
      </c>
      <c r="F90" t="inlineStr">
        <is>
          <t>LOCAL</t>
        </is>
      </c>
      <c r="G90" t="n">
        <v>0</v>
      </c>
      <c r="H90" t="inlineStr">
        <is>
          <t>AUD</t>
        </is>
      </c>
      <c r="I90" t="n">
        <v>2.4</v>
      </c>
      <c r="J90" t="inlineStr">
        <is>
          <t>AUD</t>
        </is>
      </c>
      <c r="K90" t="n">
        <v>0</v>
      </c>
      <c r="L90" t="inlineStr">
        <is>
          <t>AUD</t>
        </is>
      </c>
      <c r="M90" t="n">
        <v>0</v>
      </c>
      <c r="N90" t="inlineStr">
        <is>
          <t>AUD</t>
        </is>
      </c>
      <c r="O90" t="n">
        <v>0</v>
      </c>
      <c r="P90" t="inlineStr">
        <is>
          <t>AUD</t>
        </is>
      </c>
      <c r="Q90" t="n">
        <v>30</v>
      </c>
    </row>
    <row r="91">
      <c r="A91" t="inlineStr">
        <is>
          <t>2023-09-28_BHP.AX</t>
        </is>
      </c>
      <c r="B91" t="inlineStr">
        <is>
          <t>BHP</t>
        </is>
      </c>
      <c r="C91" s="5" t="n">
        <v>45197</v>
      </c>
      <c r="D91" t="n">
        <v>121</v>
      </c>
      <c r="F91" t="inlineStr">
        <is>
          <t>LOCAL</t>
        </is>
      </c>
      <c r="G91" t="n">
        <v>0</v>
      </c>
      <c r="H91" t="inlineStr">
        <is>
          <t>AUD</t>
        </is>
      </c>
      <c r="I91" t="n">
        <v>1.250651</v>
      </c>
      <c r="J91" t="inlineStr">
        <is>
          <t>AUD</t>
        </is>
      </c>
      <c r="K91" t="n">
        <v>0</v>
      </c>
      <c r="L91" t="inlineStr">
        <is>
          <t>AUD</t>
        </is>
      </c>
      <c r="M91" t="n">
        <v>0</v>
      </c>
      <c r="N91" t="inlineStr">
        <is>
          <t>AUD</t>
        </is>
      </c>
      <c r="O91" t="n">
        <v>0</v>
      </c>
      <c r="P91" t="inlineStr">
        <is>
          <t>AUD</t>
        </is>
      </c>
      <c r="Q91" t="n">
        <v>30</v>
      </c>
    </row>
    <row r="92">
      <c r="A92" t="inlineStr">
        <is>
          <t>2023-11-13_AAPL</t>
        </is>
      </c>
      <c r="B92" t="inlineStr">
        <is>
          <t>AAPL</t>
        </is>
      </c>
      <c r="C92" s="5" t="n">
        <v>45243</v>
      </c>
      <c r="D92" t="n">
        <v>152</v>
      </c>
      <c r="F92" t="inlineStr">
        <is>
          <t>FOREIGN</t>
        </is>
      </c>
      <c r="G92" t="n">
        <v>0.24</v>
      </c>
      <c r="H92" t="inlineStr">
        <is>
          <t>USD</t>
        </is>
      </c>
      <c r="I92" t="n">
        <v>0</v>
      </c>
      <c r="J92" t="inlineStr">
        <is>
          <t>USD</t>
        </is>
      </c>
      <c r="K92" t="n">
        <v>0</v>
      </c>
      <c r="L92" t="inlineStr">
        <is>
          <t>USD</t>
        </is>
      </c>
      <c r="M92" t="n">
        <v>5.47</v>
      </c>
      <c r="N92" t="inlineStr">
        <is>
          <t>USD</t>
        </is>
      </c>
      <c r="O92" t="n">
        <v>0</v>
      </c>
      <c r="P92" t="inlineStr">
        <is>
          <t>USD</t>
        </is>
      </c>
      <c r="Q92" t="n">
        <v>30</v>
      </c>
    </row>
    <row r="93">
      <c r="A93" t="inlineStr">
        <is>
          <t>2023-12-06_MSFT</t>
        </is>
      </c>
      <c r="B93" t="inlineStr">
        <is>
          <t>MSFT</t>
        </is>
      </c>
      <c r="C93" s="5" t="n">
        <v>45266</v>
      </c>
      <c r="D93" t="n">
        <v>99</v>
      </c>
      <c r="F93" t="inlineStr">
        <is>
          <t>FOREIGN</t>
        </is>
      </c>
      <c r="G93" t="n">
        <v>0.75</v>
      </c>
      <c r="H93" t="inlineStr">
        <is>
          <t>USD</t>
        </is>
      </c>
      <c r="I93" t="n">
        <v>0</v>
      </c>
      <c r="J93" t="inlineStr">
        <is>
          <t>USD</t>
        </is>
      </c>
      <c r="K93" t="n">
        <v>0</v>
      </c>
      <c r="L93" t="inlineStr">
        <is>
          <t>USD</t>
        </is>
      </c>
      <c r="M93" t="n">
        <v>11.14</v>
      </c>
      <c r="N93" t="inlineStr">
        <is>
          <t>USD</t>
        </is>
      </c>
      <c r="O93" t="n">
        <v>0</v>
      </c>
      <c r="P93" t="inlineStr">
        <is>
          <t>USD</t>
        </is>
      </c>
      <c r="Q93" t="n">
        <v>30</v>
      </c>
    </row>
    <row r="94">
      <c r="A94" t="inlineStr">
        <is>
          <t>2024-02-12_AAPL</t>
        </is>
      </c>
      <c r="B94" t="inlineStr">
        <is>
          <t>AAPL</t>
        </is>
      </c>
      <c r="C94" s="5" t="n">
        <v>45334</v>
      </c>
      <c r="D94" t="n">
        <v>158</v>
      </c>
      <c r="F94" t="inlineStr">
        <is>
          <t>FOREIGN</t>
        </is>
      </c>
      <c r="G94" t="n">
        <v>0.24</v>
      </c>
      <c r="H94" t="inlineStr">
        <is>
          <t>USD</t>
        </is>
      </c>
      <c r="I94" t="n">
        <v>0</v>
      </c>
      <c r="J94" t="inlineStr">
        <is>
          <t>USD</t>
        </is>
      </c>
      <c r="K94" t="n">
        <v>0</v>
      </c>
      <c r="L94" t="inlineStr">
        <is>
          <t>USD</t>
        </is>
      </c>
      <c r="M94" t="n">
        <v>5.69</v>
      </c>
      <c r="N94" t="inlineStr">
        <is>
          <t>USD</t>
        </is>
      </c>
      <c r="O94" t="n">
        <v>0</v>
      </c>
      <c r="P94" t="inlineStr">
        <is>
          <t>USD</t>
        </is>
      </c>
      <c r="Q94" t="n">
        <v>30</v>
      </c>
    </row>
    <row r="95">
      <c r="A95" t="inlineStr">
        <is>
          <t>2024-03-06_MSFT</t>
        </is>
      </c>
      <c r="B95" t="inlineStr">
        <is>
          <t>MSFT</t>
        </is>
      </c>
      <c r="C95" s="5" t="n">
        <v>45357</v>
      </c>
      <c r="D95" t="n">
        <v>100</v>
      </c>
      <c r="F95" t="inlineStr">
        <is>
          <t>FOREIGN</t>
        </is>
      </c>
      <c r="G95" t="n">
        <v>0.75</v>
      </c>
      <c r="H95" t="inlineStr">
        <is>
          <t>USD</t>
        </is>
      </c>
      <c r="I95" t="n">
        <v>0</v>
      </c>
      <c r="J95" t="inlineStr">
        <is>
          <t>USD</t>
        </is>
      </c>
      <c r="K95" t="n">
        <v>0</v>
      </c>
      <c r="L95" t="inlineStr">
        <is>
          <t>USD</t>
        </is>
      </c>
      <c r="M95" t="n">
        <v>11.25</v>
      </c>
      <c r="N95" t="inlineStr">
        <is>
          <t>USD</t>
        </is>
      </c>
      <c r="O95" t="n">
        <v>0</v>
      </c>
      <c r="P95" t="inlineStr">
        <is>
          <t>USD</t>
        </is>
      </c>
      <c r="Q95" t="n">
        <v>30</v>
      </c>
    </row>
    <row r="96">
      <c r="A96" t="inlineStr">
        <is>
          <t>2024-03-27_CBA.AX</t>
        </is>
      </c>
      <c r="B96" t="inlineStr">
        <is>
          <t>CBA</t>
        </is>
      </c>
      <c r="C96" s="5" t="n">
        <v>45378</v>
      </c>
      <c r="D96" t="n">
        <v>38</v>
      </c>
      <c r="F96" t="inlineStr">
        <is>
          <t>LOCAL</t>
        </is>
      </c>
      <c r="G96" t="n">
        <v>0</v>
      </c>
      <c r="H96" t="inlineStr">
        <is>
          <t>AUD</t>
        </is>
      </c>
      <c r="I96" t="n">
        <v>2.15</v>
      </c>
      <c r="J96" t="inlineStr">
        <is>
          <t>AUD</t>
        </is>
      </c>
      <c r="K96" t="n">
        <v>0</v>
      </c>
      <c r="L96" t="inlineStr">
        <is>
          <t>AUD</t>
        </is>
      </c>
      <c r="M96" t="n">
        <v>0</v>
      </c>
      <c r="N96" t="inlineStr">
        <is>
          <t>AUD</t>
        </is>
      </c>
      <c r="O96" t="n">
        <v>0</v>
      </c>
      <c r="P96" t="inlineStr">
        <is>
          <t>AUD</t>
        </is>
      </c>
      <c r="Q96" t="n">
        <v>30</v>
      </c>
    </row>
    <row r="97">
      <c r="A97" t="inlineStr">
        <is>
          <t>2024-03-28_BHP.AX</t>
        </is>
      </c>
      <c r="B97" t="inlineStr">
        <is>
          <t>BHP</t>
        </is>
      </c>
      <c r="C97" s="5" t="n">
        <v>45379</v>
      </c>
      <c r="D97" t="n">
        <v>138</v>
      </c>
      <c r="F97" t="inlineStr">
        <is>
          <t>LOCAL</t>
        </is>
      </c>
      <c r="G97" t="n">
        <v>0</v>
      </c>
      <c r="H97" t="inlineStr">
        <is>
          <t>AUD</t>
        </is>
      </c>
      <c r="I97" t="n">
        <v>1.096196</v>
      </c>
      <c r="J97" t="inlineStr">
        <is>
          <t>AUD</t>
        </is>
      </c>
      <c r="K97" t="n">
        <v>0</v>
      </c>
      <c r="L97" t="inlineStr">
        <is>
          <t>AUD</t>
        </is>
      </c>
      <c r="M97" t="n">
        <v>0</v>
      </c>
      <c r="N97" t="inlineStr">
        <is>
          <t>AUD</t>
        </is>
      </c>
      <c r="O97" t="n">
        <v>0</v>
      </c>
      <c r="P97" t="inlineStr">
        <is>
          <t>AUD</t>
        </is>
      </c>
      <c r="Q97" t="n">
        <v>30</v>
      </c>
    </row>
    <row r="98">
      <c r="A98" t="inlineStr">
        <is>
          <t>2024-05-13_AAPL</t>
        </is>
      </c>
      <c r="B98" t="inlineStr">
        <is>
          <t>AAPL</t>
        </is>
      </c>
      <c r="C98" s="5" t="n">
        <v>45425</v>
      </c>
      <c r="D98" t="n">
        <v>161</v>
      </c>
      <c r="F98" t="inlineStr">
        <is>
          <t>FOREIGN</t>
        </is>
      </c>
      <c r="G98" t="n">
        <v>0.25</v>
      </c>
      <c r="H98" t="inlineStr">
        <is>
          <t>USD</t>
        </is>
      </c>
      <c r="I98" t="n">
        <v>0</v>
      </c>
      <c r="J98" t="inlineStr">
        <is>
          <t>USD</t>
        </is>
      </c>
      <c r="K98" t="n">
        <v>0</v>
      </c>
      <c r="L98" t="inlineStr">
        <is>
          <t>USD</t>
        </is>
      </c>
      <c r="M98" t="n">
        <v>6.04</v>
      </c>
      <c r="N98" t="inlineStr">
        <is>
          <t>USD</t>
        </is>
      </c>
      <c r="O98" t="n">
        <v>0</v>
      </c>
      <c r="P98" t="inlineStr">
        <is>
          <t>USD</t>
        </is>
      </c>
      <c r="Q98" t="n">
        <v>30</v>
      </c>
    </row>
    <row r="99">
      <c r="A99" t="inlineStr">
        <is>
          <t>2024-06-05_MSFT</t>
        </is>
      </c>
      <c r="B99" t="inlineStr">
        <is>
          <t>MSFT</t>
        </is>
      </c>
      <c r="C99" s="5" t="n">
        <v>45448</v>
      </c>
      <c r="D99" t="n">
        <v>100</v>
      </c>
      <c r="F99" t="inlineStr">
        <is>
          <t>FOREIGN</t>
        </is>
      </c>
      <c r="G99" t="n">
        <v>0.75</v>
      </c>
      <c r="H99" t="inlineStr">
        <is>
          <t>USD</t>
        </is>
      </c>
      <c r="I99" t="n">
        <v>0</v>
      </c>
      <c r="J99" t="inlineStr">
        <is>
          <t>USD</t>
        </is>
      </c>
      <c r="K99" t="n">
        <v>0</v>
      </c>
      <c r="L99" t="inlineStr">
        <is>
          <t>USD</t>
        </is>
      </c>
      <c r="M99" t="n">
        <v>11.25</v>
      </c>
      <c r="N99" t="inlineStr">
        <is>
          <t>USD</t>
        </is>
      </c>
      <c r="O99" t="n">
        <v>0</v>
      </c>
      <c r="P99" t="inlineStr">
        <is>
          <t>USD</t>
        </is>
      </c>
      <c r="Q99" t="n">
        <v>30</v>
      </c>
    </row>
    <row r="100">
      <c r="A100" t="inlineStr">
        <is>
          <t>2024-08-15_AAPL</t>
        </is>
      </c>
      <c r="B100" t="inlineStr">
        <is>
          <t>AAPL</t>
        </is>
      </c>
      <c r="C100" s="5" t="n">
        <v>45519</v>
      </c>
      <c r="D100" t="n">
        <v>164</v>
      </c>
      <c r="F100" t="inlineStr">
        <is>
          <t>FOREIGN</t>
        </is>
      </c>
      <c r="G100" t="n">
        <v>0.25</v>
      </c>
      <c r="H100" t="inlineStr">
        <is>
          <t>USD</t>
        </is>
      </c>
      <c r="I100" t="n">
        <v>0</v>
      </c>
      <c r="J100" t="inlineStr">
        <is>
          <t>USD</t>
        </is>
      </c>
      <c r="K100" t="n">
        <v>0</v>
      </c>
      <c r="L100" t="inlineStr">
        <is>
          <t>USD</t>
        </is>
      </c>
      <c r="M100" t="n">
        <v>6.15</v>
      </c>
      <c r="N100" t="inlineStr">
        <is>
          <t>USD</t>
        </is>
      </c>
      <c r="O100" t="n">
        <v>0</v>
      </c>
      <c r="P100" t="inlineStr">
        <is>
          <t>USD</t>
        </is>
      </c>
      <c r="Q100" t="n">
        <v>30</v>
      </c>
    </row>
    <row r="101">
      <c r="A101" t="inlineStr">
        <is>
          <t>2024-09-05_MSFT</t>
        </is>
      </c>
      <c r="B101" t="inlineStr">
        <is>
          <t>MSFT</t>
        </is>
      </c>
      <c r="C101" s="5" t="n">
        <v>45540</v>
      </c>
      <c r="D101" t="n">
        <v>100</v>
      </c>
      <c r="F101" t="inlineStr">
        <is>
          <t>FOREIGN</t>
        </is>
      </c>
      <c r="G101" t="n">
        <v>0.75</v>
      </c>
      <c r="H101" t="inlineStr">
        <is>
          <t>USD</t>
        </is>
      </c>
      <c r="I101" t="n">
        <v>0</v>
      </c>
      <c r="J101" t="inlineStr">
        <is>
          <t>USD</t>
        </is>
      </c>
      <c r="K101" t="n">
        <v>0</v>
      </c>
      <c r="L101" t="inlineStr">
        <is>
          <t>USD</t>
        </is>
      </c>
      <c r="M101" t="n">
        <v>11.25</v>
      </c>
      <c r="N101" t="inlineStr">
        <is>
          <t>USD</t>
        </is>
      </c>
      <c r="O101" t="n">
        <v>0</v>
      </c>
      <c r="P101" t="inlineStr">
        <is>
          <t>USD</t>
        </is>
      </c>
      <c r="Q101" t="n">
        <v>30</v>
      </c>
    </row>
    <row r="102">
      <c r="A102" t="inlineStr">
        <is>
          <t>2024-09-25_CBA.AX</t>
        </is>
      </c>
      <c r="B102" t="inlineStr">
        <is>
          <t>CBA</t>
        </is>
      </c>
      <c r="C102" s="5" t="n">
        <v>45560</v>
      </c>
      <c r="D102" t="n">
        <v>38</v>
      </c>
      <c r="F102" t="inlineStr">
        <is>
          <t>LOCAL</t>
        </is>
      </c>
      <c r="G102" t="n">
        <v>0</v>
      </c>
      <c r="H102" t="inlineStr">
        <is>
          <t>AUD</t>
        </is>
      </c>
      <c r="I102" t="n">
        <v>2.5</v>
      </c>
      <c r="J102" t="inlineStr">
        <is>
          <t>AUD</t>
        </is>
      </c>
      <c r="K102" t="n">
        <v>0</v>
      </c>
      <c r="L102" t="inlineStr">
        <is>
          <t>AUD</t>
        </is>
      </c>
      <c r="M102" t="n">
        <v>0</v>
      </c>
      <c r="N102" t="inlineStr">
        <is>
          <t>AUD</t>
        </is>
      </c>
      <c r="O102" t="n">
        <v>0</v>
      </c>
      <c r="P102" t="inlineStr">
        <is>
          <t>AUD</t>
        </is>
      </c>
      <c r="Q102" t="n">
        <v>30</v>
      </c>
    </row>
    <row r="103">
      <c r="A103" t="inlineStr">
        <is>
          <t>2024-10-03_BHP.AX</t>
        </is>
      </c>
      <c r="B103" t="inlineStr">
        <is>
          <t>BHP</t>
        </is>
      </c>
      <c r="C103" s="5" t="n">
        <v>45568</v>
      </c>
      <c r="D103" t="n">
        <v>138</v>
      </c>
      <c r="F103" t="inlineStr">
        <is>
          <t>LOCAL</t>
        </is>
      </c>
      <c r="G103" t="n">
        <v>0</v>
      </c>
      <c r="H103" t="inlineStr">
        <is>
          <t>AUD</t>
        </is>
      </c>
      <c r="I103" t="n">
        <v>1.109986</v>
      </c>
      <c r="J103" t="inlineStr">
        <is>
          <t>AUD</t>
        </is>
      </c>
      <c r="K103" t="n">
        <v>0</v>
      </c>
      <c r="L103" t="inlineStr">
        <is>
          <t>AUD</t>
        </is>
      </c>
      <c r="M103" t="n">
        <v>0</v>
      </c>
      <c r="N103" t="inlineStr">
        <is>
          <t>AUD</t>
        </is>
      </c>
      <c r="O103" t="n">
        <v>0</v>
      </c>
      <c r="P103" t="inlineStr">
        <is>
          <t>AUD</t>
        </is>
      </c>
      <c r="Q103" t="n">
        <v>30</v>
      </c>
    </row>
    <row r="104">
      <c r="A104" t="inlineStr">
        <is>
          <t>2024-11-11_AAPL</t>
        </is>
      </c>
      <c r="B104" t="inlineStr">
        <is>
          <t>AAPL</t>
        </is>
      </c>
      <c r="C104" s="5" t="n">
        <v>45607</v>
      </c>
      <c r="D104" t="n">
        <v>164</v>
      </c>
      <c r="F104" t="inlineStr">
        <is>
          <t>FOREIGN</t>
        </is>
      </c>
      <c r="G104" t="n">
        <v>0.25</v>
      </c>
      <c r="H104" t="inlineStr">
        <is>
          <t>USD</t>
        </is>
      </c>
      <c r="I104" t="n">
        <v>0</v>
      </c>
      <c r="J104" t="inlineStr">
        <is>
          <t>USD</t>
        </is>
      </c>
      <c r="K104" t="n">
        <v>0</v>
      </c>
      <c r="L104" t="inlineStr">
        <is>
          <t>USD</t>
        </is>
      </c>
      <c r="M104" t="n">
        <v>6.15</v>
      </c>
      <c r="N104" t="inlineStr">
        <is>
          <t>USD</t>
        </is>
      </c>
      <c r="O104" t="n">
        <v>0</v>
      </c>
      <c r="P104" t="inlineStr">
        <is>
          <t>USD</t>
        </is>
      </c>
      <c r="Q104" t="n">
        <v>30</v>
      </c>
    </row>
    <row r="105">
      <c r="A105" t="inlineStr">
        <is>
          <t>2024-12-12_MSFT</t>
        </is>
      </c>
      <c r="B105" t="inlineStr">
        <is>
          <t>MSFT</t>
        </is>
      </c>
      <c r="C105" s="5" t="n">
        <v>45638</v>
      </c>
      <c r="D105" t="n">
        <v>71</v>
      </c>
      <c r="F105" t="inlineStr">
        <is>
          <t>FOREIGN</t>
        </is>
      </c>
      <c r="G105" t="n">
        <v>0.83</v>
      </c>
      <c r="H105" t="inlineStr">
        <is>
          <t>USD</t>
        </is>
      </c>
      <c r="I105" t="n">
        <v>0</v>
      </c>
      <c r="J105" t="inlineStr">
        <is>
          <t>USD</t>
        </is>
      </c>
      <c r="K105" t="n">
        <v>0</v>
      </c>
      <c r="L105" t="inlineStr">
        <is>
          <t>USD</t>
        </is>
      </c>
      <c r="M105" t="n">
        <v>8.84</v>
      </c>
      <c r="N105" t="inlineStr">
        <is>
          <t>USD</t>
        </is>
      </c>
      <c r="O105" t="n">
        <v>0</v>
      </c>
      <c r="P105" t="inlineStr">
        <is>
          <t>USD</t>
        </is>
      </c>
      <c r="Q105" t="n">
        <v>30</v>
      </c>
    </row>
    <row r="106">
      <c r="A106" t="inlineStr">
        <is>
          <t>2025-02-13_AAPL</t>
        </is>
      </c>
      <c r="B106" t="inlineStr">
        <is>
          <t>AAPL</t>
        </is>
      </c>
      <c r="C106" s="5" t="n">
        <v>45701</v>
      </c>
      <c r="D106" t="n">
        <v>164</v>
      </c>
      <c r="F106" t="inlineStr">
        <is>
          <t>FOREIGN</t>
        </is>
      </c>
      <c r="G106" t="n">
        <v>0.25</v>
      </c>
      <c r="H106" t="inlineStr">
        <is>
          <t>USD</t>
        </is>
      </c>
      <c r="I106" t="n">
        <v>0</v>
      </c>
      <c r="J106" t="inlineStr">
        <is>
          <t>USD</t>
        </is>
      </c>
      <c r="K106" t="n">
        <v>0</v>
      </c>
      <c r="L106" t="inlineStr">
        <is>
          <t>USD</t>
        </is>
      </c>
      <c r="M106" t="n">
        <v>6.15</v>
      </c>
      <c r="N106" t="inlineStr">
        <is>
          <t>USD</t>
        </is>
      </c>
      <c r="O106" t="n">
        <v>0</v>
      </c>
      <c r="P106" t="inlineStr">
        <is>
          <t>USD</t>
        </is>
      </c>
      <c r="Q106" t="n">
        <v>30</v>
      </c>
    </row>
    <row r="107">
      <c r="A107" t="inlineStr">
        <is>
          <t>2025-03-13_MSFT</t>
        </is>
      </c>
      <c r="B107" t="inlineStr">
        <is>
          <t>MSFT</t>
        </is>
      </c>
      <c r="C107" s="5" t="n">
        <v>45729</v>
      </c>
      <c r="D107" t="n">
        <v>72</v>
      </c>
      <c r="F107" t="inlineStr">
        <is>
          <t>FOREIGN</t>
        </is>
      </c>
      <c r="G107" t="n">
        <v>0.83</v>
      </c>
      <c r="H107" t="inlineStr">
        <is>
          <t>USD</t>
        </is>
      </c>
      <c r="I107" t="n">
        <v>0</v>
      </c>
      <c r="J107" t="inlineStr">
        <is>
          <t>USD</t>
        </is>
      </c>
      <c r="K107" t="n">
        <v>0</v>
      </c>
      <c r="L107" t="inlineStr">
        <is>
          <t>USD</t>
        </is>
      </c>
      <c r="M107" t="n">
        <v>8.960000000000001</v>
      </c>
      <c r="N107" t="inlineStr">
        <is>
          <t>USD</t>
        </is>
      </c>
      <c r="O107" t="n">
        <v>0</v>
      </c>
      <c r="P107" t="inlineStr">
        <is>
          <t>USD</t>
        </is>
      </c>
      <c r="Q107" t="n">
        <v>30</v>
      </c>
    </row>
    <row r="108">
      <c r="A108" t="inlineStr">
        <is>
          <t>2025-03-26_CBA.AX</t>
        </is>
      </c>
      <c r="B108" t="inlineStr">
        <is>
          <t>CBA</t>
        </is>
      </c>
      <c r="C108" s="5" t="n">
        <v>45742</v>
      </c>
      <c r="D108" t="n">
        <v>38</v>
      </c>
      <c r="F108" t="inlineStr">
        <is>
          <t>LOCAL</t>
        </is>
      </c>
      <c r="G108" t="n">
        <v>0</v>
      </c>
      <c r="H108" t="inlineStr">
        <is>
          <t>AUD</t>
        </is>
      </c>
      <c r="I108" t="n">
        <v>2.25</v>
      </c>
      <c r="J108" t="inlineStr">
        <is>
          <t>AUD</t>
        </is>
      </c>
      <c r="K108" t="n">
        <v>0</v>
      </c>
      <c r="L108" t="inlineStr">
        <is>
          <t>AUD</t>
        </is>
      </c>
      <c r="M108" t="n">
        <v>0</v>
      </c>
      <c r="N108" t="inlineStr">
        <is>
          <t>AUD</t>
        </is>
      </c>
      <c r="O108" t="n">
        <v>0</v>
      </c>
      <c r="P108" t="inlineStr">
        <is>
          <t>AUD</t>
        </is>
      </c>
      <c r="Q108" t="n">
        <v>30</v>
      </c>
    </row>
    <row r="109">
      <c r="A109" t="inlineStr">
        <is>
          <t>2025-03-27_BHP.AX</t>
        </is>
      </c>
      <c r="B109" t="inlineStr">
        <is>
          <t>BHP</t>
        </is>
      </c>
      <c r="C109" s="5" t="n">
        <v>45743</v>
      </c>
      <c r="D109" t="n">
        <v>138</v>
      </c>
      <c r="F109" t="inlineStr">
        <is>
          <t>LOCAL</t>
        </is>
      </c>
      <c r="G109" t="n">
        <v>0</v>
      </c>
      <c r="H109" t="inlineStr">
        <is>
          <t>AUD</t>
        </is>
      </c>
      <c r="I109" t="n">
        <v>0.7909350000000001</v>
      </c>
      <c r="J109" t="inlineStr">
        <is>
          <t>AUD</t>
        </is>
      </c>
      <c r="K109" t="n">
        <v>0</v>
      </c>
      <c r="L109" t="inlineStr">
        <is>
          <t>AUD</t>
        </is>
      </c>
      <c r="M109" t="n">
        <v>0</v>
      </c>
      <c r="N109" t="inlineStr">
        <is>
          <t>AUD</t>
        </is>
      </c>
      <c r="O109" t="n">
        <v>0</v>
      </c>
      <c r="P109" t="inlineStr">
        <is>
          <t>AUD</t>
        </is>
      </c>
      <c r="Q109" t="n">
        <v>30</v>
      </c>
    </row>
    <row r="110">
      <c r="A110" t="inlineStr">
        <is>
          <t>2025-05-15_AAPL</t>
        </is>
      </c>
      <c r="B110" t="inlineStr">
        <is>
          <t>AAPL</t>
        </is>
      </c>
      <c r="C110" s="5" t="n">
        <v>45792</v>
      </c>
      <c r="D110" t="n">
        <v>167</v>
      </c>
      <c r="F110" t="inlineStr">
        <is>
          <t>FOREIGN</t>
        </is>
      </c>
      <c r="G110" t="n">
        <v>0.26</v>
      </c>
      <c r="H110" t="inlineStr">
        <is>
          <t>USD</t>
        </is>
      </c>
      <c r="I110" t="n">
        <v>0</v>
      </c>
      <c r="J110" t="inlineStr">
        <is>
          <t>USD</t>
        </is>
      </c>
      <c r="K110" t="n">
        <v>0</v>
      </c>
      <c r="L110" t="inlineStr">
        <is>
          <t>USD</t>
        </is>
      </c>
      <c r="M110" t="n">
        <v>6.51</v>
      </c>
      <c r="N110" t="inlineStr">
        <is>
          <t>USD</t>
        </is>
      </c>
      <c r="O110" t="n">
        <v>0</v>
      </c>
      <c r="P110" t="inlineStr">
        <is>
          <t>USD</t>
        </is>
      </c>
      <c r="Q110" t="n">
        <v>30</v>
      </c>
    </row>
    <row r="111">
      <c r="A111" t="inlineStr">
        <is>
          <t>2025-06-05_MSFT</t>
        </is>
      </c>
      <c r="B111" t="inlineStr">
        <is>
          <t>MSFT</t>
        </is>
      </c>
      <c r="C111" s="5" t="n">
        <v>45813</v>
      </c>
      <c r="D111" t="n">
        <v>72</v>
      </c>
      <c r="F111" t="inlineStr">
        <is>
          <t>FOREIGN</t>
        </is>
      </c>
      <c r="G111" t="n">
        <v>0.83</v>
      </c>
      <c r="H111" t="inlineStr">
        <is>
          <t>USD</t>
        </is>
      </c>
      <c r="I111" t="n">
        <v>0</v>
      </c>
      <c r="J111" t="inlineStr">
        <is>
          <t>USD</t>
        </is>
      </c>
      <c r="K111" t="n">
        <v>0</v>
      </c>
      <c r="L111" t="inlineStr">
        <is>
          <t>USD</t>
        </is>
      </c>
      <c r="M111" t="n">
        <v>8.960000000000001</v>
      </c>
      <c r="N111" t="inlineStr">
        <is>
          <t>USD</t>
        </is>
      </c>
      <c r="O111" t="n">
        <v>0</v>
      </c>
      <c r="P111" t="inlineStr">
        <is>
          <t>USD</t>
        </is>
      </c>
      <c r="Q111" t="n">
        <v>30</v>
      </c>
    </row>
    <row r="112">
      <c r="A112" t="inlineStr">
        <is>
          <t>2025-08-14_AAPL</t>
        </is>
      </c>
      <c r="B112" t="inlineStr">
        <is>
          <t>AAPL</t>
        </is>
      </c>
      <c r="C112" s="5" t="n">
        <v>45883</v>
      </c>
      <c r="D112" t="n">
        <v>167</v>
      </c>
      <c r="F112" t="inlineStr">
        <is>
          <t>FOREIGN</t>
        </is>
      </c>
      <c r="G112" t="n">
        <v>0.26</v>
      </c>
      <c r="H112" t="inlineStr">
        <is>
          <t>USD</t>
        </is>
      </c>
      <c r="I112" t="n">
        <v>0</v>
      </c>
      <c r="J112" t="inlineStr">
        <is>
          <t>USD</t>
        </is>
      </c>
      <c r="K112" t="n">
        <v>0</v>
      </c>
      <c r="L112" t="inlineStr">
        <is>
          <t>USD</t>
        </is>
      </c>
      <c r="M112" t="n">
        <v>6.51</v>
      </c>
      <c r="N112" t="inlineStr">
        <is>
          <t>USD</t>
        </is>
      </c>
      <c r="O112" t="n">
        <v>0</v>
      </c>
      <c r="P112" t="inlineStr">
        <is>
          <t>USD</t>
        </is>
      </c>
      <c r="Q112" t="n">
        <v>30</v>
      </c>
    </row>
    <row r="113">
      <c r="A113" t="inlineStr">
        <is>
          <t>2025-09-11_MSFT</t>
        </is>
      </c>
      <c r="B113" t="inlineStr">
        <is>
          <t>MSFT</t>
        </is>
      </c>
      <c r="C113" s="5" t="n">
        <v>45911</v>
      </c>
      <c r="D113" t="n">
        <v>75</v>
      </c>
      <c r="F113" t="inlineStr">
        <is>
          <t>FOREIGN</t>
        </is>
      </c>
      <c r="G113" t="n">
        <v>0.83</v>
      </c>
      <c r="H113" t="inlineStr">
        <is>
          <t>USD</t>
        </is>
      </c>
      <c r="I113" t="n">
        <v>0</v>
      </c>
      <c r="J113" t="inlineStr">
        <is>
          <t>USD</t>
        </is>
      </c>
      <c r="K113" t="n">
        <v>0</v>
      </c>
      <c r="L113" t="inlineStr">
        <is>
          <t>USD</t>
        </is>
      </c>
      <c r="M113" t="n">
        <v>9.34</v>
      </c>
      <c r="N113" t="inlineStr">
        <is>
          <t>USD</t>
        </is>
      </c>
      <c r="O113" t="n">
        <v>0</v>
      </c>
      <c r="P113" t="inlineStr">
        <is>
          <t>USD</t>
        </is>
      </c>
      <c r="Q113" t="n">
        <v>30</v>
      </c>
    </row>
    <row r="114">
      <c r="A114" t="inlineStr">
        <is>
          <t>2025-09-24_CBA.AX</t>
        </is>
      </c>
      <c r="B114" t="inlineStr">
        <is>
          <t>CBA</t>
        </is>
      </c>
      <c r="C114" s="5" t="n">
        <v>45924</v>
      </c>
      <c r="D114" t="n">
        <v>41</v>
      </c>
      <c r="F114" t="inlineStr">
        <is>
          <t>LOCAL</t>
        </is>
      </c>
      <c r="G114" t="n">
        <v>0</v>
      </c>
      <c r="H114" t="inlineStr">
        <is>
          <t>AUD</t>
        </is>
      </c>
      <c r="I114" t="n">
        <v>2.6</v>
      </c>
      <c r="J114" t="inlineStr">
        <is>
          <t>AUD</t>
        </is>
      </c>
      <c r="K114" t="n">
        <v>0</v>
      </c>
      <c r="L114" t="inlineStr">
        <is>
          <t>AUD</t>
        </is>
      </c>
      <c r="M114" t="n">
        <v>0</v>
      </c>
      <c r="N114" t="inlineStr">
        <is>
          <t>AUD</t>
        </is>
      </c>
      <c r="O114" t="n">
        <v>0</v>
      </c>
      <c r="P114" t="inlineStr">
        <is>
          <t>AUD</t>
        </is>
      </c>
      <c r="Q114" t="n">
        <v>30</v>
      </c>
    </row>
    <row r="115">
      <c r="A115" t="inlineStr">
        <is>
          <t>2025-09-25_BHP.AX</t>
        </is>
      </c>
      <c r="B115" t="inlineStr">
        <is>
          <t>BHP</t>
        </is>
      </c>
      <c r="C115" s="5" t="n">
        <v>45925</v>
      </c>
      <c r="D115" t="n">
        <v>138</v>
      </c>
      <c r="F115" t="inlineStr">
        <is>
          <t>LOCAL</t>
        </is>
      </c>
      <c r="G115" t="n">
        <v>0</v>
      </c>
      <c r="H115" t="inlineStr">
        <is>
          <t>AUD</t>
        </is>
      </c>
      <c r="I115" t="n">
        <v>0.919273</v>
      </c>
      <c r="J115" t="inlineStr">
        <is>
          <t>AUD</t>
        </is>
      </c>
      <c r="K115" t="n">
        <v>0</v>
      </c>
      <c r="L115" t="inlineStr">
        <is>
          <t>AUD</t>
        </is>
      </c>
      <c r="M115" t="n">
        <v>0</v>
      </c>
      <c r="N115" t="inlineStr">
        <is>
          <t>AUD</t>
        </is>
      </c>
      <c r="O115" t="n">
        <v>0</v>
      </c>
      <c r="P115" t="inlineStr">
        <is>
          <t>AUD</t>
        </is>
      </c>
      <c r="Q115" t="n">
        <v>30</v>
      </c>
    </row>
    <row r="116">
      <c r="A116" t="inlineStr">
        <is>
          <t>2025-11-13_AAPL</t>
        </is>
      </c>
      <c r="B116" t="inlineStr">
        <is>
          <t>AAPL</t>
        </is>
      </c>
      <c r="C116" s="5" t="n">
        <v>45974</v>
      </c>
      <c r="D116" t="n">
        <v>168</v>
      </c>
      <c r="F116" t="inlineStr">
        <is>
          <t>FOREIGN</t>
        </is>
      </c>
      <c r="G116" t="n">
        <v>0.26</v>
      </c>
      <c r="H116" t="inlineStr">
        <is>
          <t>USD</t>
        </is>
      </c>
      <c r="I116" t="n">
        <v>0</v>
      </c>
      <c r="J116" t="inlineStr">
        <is>
          <t>USD</t>
        </is>
      </c>
      <c r="K116" t="n">
        <v>0</v>
      </c>
      <c r="L116" t="inlineStr">
        <is>
          <t>USD</t>
        </is>
      </c>
      <c r="M116" t="n">
        <v>6.55</v>
      </c>
      <c r="N116" t="inlineStr">
        <is>
          <t>USD</t>
        </is>
      </c>
      <c r="O116" t="n">
        <v>0</v>
      </c>
      <c r="P116" t="inlineStr">
        <is>
          <t>USD</t>
        </is>
      </c>
      <c r="Q116" t="n">
        <v>30</v>
      </c>
    </row>
    <row r="117">
      <c r="A117" t="inlineStr">
        <is>
          <t>2025-12-11_MSFT</t>
        </is>
      </c>
      <c r="B117" t="inlineStr">
        <is>
          <t>MSFT</t>
        </is>
      </c>
      <c r="C117" s="5" t="n">
        <v>46002</v>
      </c>
      <c r="D117" t="n">
        <v>76</v>
      </c>
      <c r="F117" t="inlineStr">
        <is>
          <t>FOREIGN</t>
        </is>
      </c>
      <c r="G117" t="n">
        <v>0.91</v>
      </c>
      <c r="H117" t="inlineStr">
        <is>
          <t>USD</t>
        </is>
      </c>
      <c r="I117" t="n">
        <v>0</v>
      </c>
      <c r="J117" t="inlineStr">
        <is>
          <t>USD</t>
        </is>
      </c>
      <c r="K117" t="n">
        <v>0</v>
      </c>
      <c r="L117" t="inlineStr">
        <is>
          <t>USD</t>
        </is>
      </c>
      <c r="M117" t="n">
        <v>10.37</v>
      </c>
      <c r="N117" t="inlineStr">
        <is>
          <t>USD</t>
        </is>
      </c>
      <c r="O117" t="n">
        <v>0</v>
      </c>
      <c r="P117" t="inlineStr">
        <is>
          <t>USD</t>
        </is>
      </c>
      <c r="Q117" t="n">
        <v>30</v>
      </c>
    </row>
    <row r="118">
      <c r="A118" t="inlineStr">
        <is>
          <t>2026-02-12_AAPL</t>
        </is>
      </c>
      <c r="B118" t="inlineStr">
        <is>
          <t>AAPL</t>
        </is>
      </c>
      <c r="C118" s="5" t="n">
        <v>46065</v>
      </c>
      <c r="D118" t="n">
        <v>168</v>
      </c>
      <c r="F118" t="inlineStr">
        <is>
          <t>FOREIGN</t>
        </is>
      </c>
      <c r="G118" t="n">
        <v>0.26</v>
      </c>
      <c r="H118" t="inlineStr">
        <is>
          <t>USD</t>
        </is>
      </c>
      <c r="I118" t="n">
        <v>0</v>
      </c>
      <c r="J118" t="inlineStr">
        <is>
          <t>USD</t>
        </is>
      </c>
      <c r="K118" t="n">
        <v>0</v>
      </c>
      <c r="L118" t="inlineStr">
        <is>
          <t>USD</t>
        </is>
      </c>
      <c r="M118" t="n">
        <v>6.55</v>
      </c>
      <c r="N118" t="inlineStr">
        <is>
          <t>USD</t>
        </is>
      </c>
      <c r="O118" t="n">
        <v>0</v>
      </c>
      <c r="P118" t="inlineStr">
        <is>
          <t>USD</t>
        </is>
      </c>
      <c r="Q118" t="n">
        <v>30</v>
      </c>
    </row>
    <row r="119">
      <c r="A119" t="inlineStr">
        <is>
          <t>2026-03-12_MSFT</t>
        </is>
      </c>
      <c r="B119" t="inlineStr">
        <is>
          <t>MSFT</t>
        </is>
      </c>
      <c r="C119" s="5" t="n">
        <v>46093</v>
      </c>
      <c r="D119" t="n">
        <v>77</v>
      </c>
      <c r="F119" t="inlineStr">
        <is>
          <t>FOREIGN</t>
        </is>
      </c>
      <c r="G119" t="n">
        <v>0.91</v>
      </c>
      <c r="H119" t="inlineStr">
        <is>
          <t>USD</t>
        </is>
      </c>
      <c r="I119" t="n">
        <v>0</v>
      </c>
      <c r="J119" t="inlineStr">
        <is>
          <t>USD</t>
        </is>
      </c>
      <c r="K119" t="n">
        <v>0</v>
      </c>
      <c r="L119" t="inlineStr">
        <is>
          <t>USD</t>
        </is>
      </c>
      <c r="M119" t="n">
        <v>10.51</v>
      </c>
      <c r="N119" t="inlineStr">
        <is>
          <t>USD</t>
        </is>
      </c>
      <c r="O119" t="n">
        <v>0</v>
      </c>
      <c r="P119" t="inlineStr">
        <is>
          <t>USD</t>
        </is>
      </c>
      <c r="Q119" t="n">
        <v>30</v>
      </c>
    </row>
    <row r="120">
      <c r="A120" t="inlineStr">
        <is>
          <t>2026-03-25_CBA.AX</t>
        </is>
      </c>
      <c r="B120" t="inlineStr">
        <is>
          <t>CBA</t>
        </is>
      </c>
      <c r="C120" s="5" t="n">
        <v>46106</v>
      </c>
      <c r="D120" t="n">
        <v>41</v>
      </c>
      <c r="F120" t="inlineStr">
        <is>
          <t>LOCAL</t>
        </is>
      </c>
      <c r="G120" t="n">
        <v>0</v>
      </c>
      <c r="H120" t="inlineStr">
        <is>
          <t>AUD</t>
        </is>
      </c>
      <c r="I120" t="n">
        <v>2.35</v>
      </c>
      <c r="J120" t="inlineStr">
        <is>
          <t>AUD</t>
        </is>
      </c>
      <c r="K120" t="n">
        <v>0</v>
      </c>
      <c r="L120" t="inlineStr">
        <is>
          <t>AUD</t>
        </is>
      </c>
      <c r="M120" t="n">
        <v>0</v>
      </c>
      <c r="N120" t="inlineStr">
        <is>
          <t>AUD</t>
        </is>
      </c>
      <c r="O120" t="n">
        <v>0</v>
      </c>
      <c r="P120" t="inlineStr">
        <is>
          <t>AUD</t>
        </is>
      </c>
      <c r="Q120" t="n">
        <v>30</v>
      </c>
    </row>
    <row r="121">
      <c r="A121" t="inlineStr">
        <is>
          <t>2026-03-26_BHP.AX</t>
        </is>
      </c>
      <c r="B121" t="inlineStr">
        <is>
          <t>BHP</t>
        </is>
      </c>
      <c r="C121" s="5" t="n">
        <v>46107</v>
      </c>
      <c r="D121" t="n">
        <v>163</v>
      </c>
      <c r="F121" t="inlineStr">
        <is>
          <t>LOCAL</t>
        </is>
      </c>
      <c r="G121" t="n">
        <v>0</v>
      </c>
      <c r="H121" t="inlineStr">
        <is>
          <t>AUD</t>
        </is>
      </c>
      <c r="I121" t="n">
        <v>1.038469</v>
      </c>
      <c r="J121" t="inlineStr">
        <is>
          <t>AUD</t>
        </is>
      </c>
      <c r="K121" t="n">
        <v>0</v>
      </c>
      <c r="L121" t="inlineStr">
        <is>
          <t>AUD</t>
        </is>
      </c>
      <c r="M121" t="n">
        <v>0</v>
      </c>
      <c r="N121" t="inlineStr">
        <is>
          <t>AUD</t>
        </is>
      </c>
      <c r="O121" t="n">
        <v>0</v>
      </c>
      <c r="P121" t="inlineStr">
        <is>
          <t>AUD</t>
        </is>
      </c>
      <c r="Q121" t="n">
        <v>30</v>
      </c>
    </row>
    <row r="122">
      <c r="A122" t="inlineStr">
        <is>
          <t>2026-05-14_AAPL</t>
        </is>
      </c>
      <c r="B122" t="inlineStr">
        <is>
          <t>AAPL</t>
        </is>
      </c>
      <c r="C122" s="5" t="n">
        <v>46156</v>
      </c>
      <c r="D122" t="n">
        <v>171</v>
      </c>
      <c r="F122" t="inlineStr">
        <is>
          <t>FOREIGN</t>
        </is>
      </c>
      <c r="G122" t="n">
        <v>0.27</v>
      </c>
      <c r="H122" t="inlineStr">
        <is>
          <t>USD</t>
        </is>
      </c>
      <c r="I122" t="n">
        <v>0</v>
      </c>
      <c r="J122" t="inlineStr">
        <is>
          <t>USD</t>
        </is>
      </c>
      <c r="K122" t="n">
        <v>0</v>
      </c>
      <c r="L122" t="inlineStr">
        <is>
          <t>USD</t>
        </is>
      </c>
      <c r="M122" t="n">
        <v>6.93</v>
      </c>
      <c r="N122" t="inlineStr">
        <is>
          <t>USD</t>
        </is>
      </c>
      <c r="O122" t="n">
        <v>0</v>
      </c>
      <c r="P122" t="inlineStr">
        <is>
          <t>USD</t>
        </is>
      </c>
      <c r="Q122" t="n">
        <v>30</v>
      </c>
    </row>
    <row r="123">
      <c r="A123" t="inlineStr">
        <is>
          <t>2026-06-11_MSFT</t>
        </is>
      </c>
      <c r="B123" t="inlineStr">
        <is>
          <t>MSFT</t>
        </is>
      </c>
      <c r="C123" s="5" t="n">
        <v>46184</v>
      </c>
      <c r="D123" t="n">
        <v>77</v>
      </c>
      <c r="F123" t="inlineStr">
        <is>
          <t>FOREIGN</t>
        </is>
      </c>
      <c r="G123" t="n">
        <v>0.91</v>
      </c>
      <c r="H123" t="inlineStr">
        <is>
          <t>USD</t>
        </is>
      </c>
      <c r="I123" t="n">
        <v>0</v>
      </c>
      <c r="J123" t="inlineStr">
        <is>
          <t>USD</t>
        </is>
      </c>
      <c r="K123" t="n">
        <v>0</v>
      </c>
      <c r="L123" t="inlineStr">
        <is>
          <t>USD</t>
        </is>
      </c>
      <c r="M123" t="n">
        <v>10.51</v>
      </c>
      <c r="N123" t="inlineStr">
        <is>
          <t>USD</t>
        </is>
      </c>
      <c r="O123" t="n">
        <v>0</v>
      </c>
      <c r="P123" t="inlineStr">
        <is>
          <t>USD</t>
        </is>
      </c>
      <c r="Q123" t="n">
        <v>30</v>
      </c>
    </row>
    <row r="124">
      <c r="A124" t="inlineStr">
        <is>
          <t>2026-08-13_AAPL</t>
        </is>
      </c>
      <c r="B124" t="inlineStr">
        <is>
          <t>AAPL</t>
        </is>
      </c>
      <c r="C124" s="5" t="n">
        <v>46247</v>
      </c>
      <c r="D124" t="n">
        <v>171</v>
      </c>
      <c r="F124" t="inlineStr">
        <is>
          <t>FOREIGN</t>
        </is>
      </c>
      <c r="G124" t="n">
        <v>0.27</v>
      </c>
      <c r="H124" t="inlineStr">
        <is>
          <t>USD</t>
        </is>
      </c>
      <c r="I124" t="n">
        <v>0</v>
      </c>
      <c r="J124" t="inlineStr">
        <is>
          <t>USD</t>
        </is>
      </c>
      <c r="K124" t="n">
        <v>0</v>
      </c>
      <c r="L124" t="inlineStr">
        <is>
          <t>USD</t>
        </is>
      </c>
      <c r="M124" t="n">
        <v>6.93</v>
      </c>
      <c r="N124" t="inlineStr">
        <is>
          <t>USD</t>
        </is>
      </c>
      <c r="O124" t="n">
        <v>0</v>
      </c>
      <c r="P124" t="inlineStr">
        <is>
          <t>USD</t>
        </is>
      </c>
      <c r="Q124" t="n">
        <v>30</v>
      </c>
    </row>
    <row r="125">
      <c r="A125" t="inlineStr">
        <is>
          <t>2026-09-10_MSFT</t>
        </is>
      </c>
      <c r="B125" t="inlineStr">
        <is>
          <t>MSFT</t>
        </is>
      </c>
      <c r="C125" s="5" t="n">
        <v>46275</v>
      </c>
      <c r="D125" t="n">
        <v>81</v>
      </c>
      <c r="F125" t="inlineStr">
        <is>
          <t>FOREIGN</t>
        </is>
      </c>
      <c r="G125" t="n">
        <v>0.91</v>
      </c>
      <c r="H125" t="inlineStr">
        <is>
          <t>USD</t>
        </is>
      </c>
      <c r="I125" t="n">
        <v>0</v>
      </c>
      <c r="J125" t="inlineStr">
        <is>
          <t>USD</t>
        </is>
      </c>
      <c r="K125" t="n">
        <v>0</v>
      </c>
      <c r="L125" t="inlineStr">
        <is>
          <t>USD</t>
        </is>
      </c>
      <c r="M125" t="n">
        <v>11.06</v>
      </c>
      <c r="N125" t="inlineStr">
        <is>
          <t>USD</t>
        </is>
      </c>
      <c r="O125" t="n">
        <v>0</v>
      </c>
      <c r="P125" t="inlineStr">
        <is>
          <t>USD</t>
        </is>
      </c>
      <c r="Q125" t="n">
        <v>30</v>
      </c>
    </row>
    <row r="126">
      <c r="A126" t="inlineStr">
        <is>
          <t>2026-09-23_CBA.AX</t>
        </is>
      </c>
      <c r="B126" t="inlineStr">
        <is>
          <t>CBA</t>
        </is>
      </c>
      <c r="C126" s="5" t="n">
        <v>46288</v>
      </c>
      <c r="D126" t="n">
        <v>41</v>
      </c>
      <c r="F126" t="inlineStr">
        <is>
          <t>LOCAL</t>
        </is>
      </c>
      <c r="G126" t="n">
        <v>0</v>
      </c>
      <c r="H126" t="inlineStr">
        <is>
          <t>AUD</t>
        </is>
      </c>
      <c r="I126" t="n">
        <v>2.7</v>
      </c>
      <c r="J126" t="inlineStr">
        <is>
          <t>AUD</t>
        </is>
      </c>
      <c r="K126" t="n">
        <v>0</v>
      </c>
      <c r="L126" t="inlineStr">
        <is>
          <t>AUD</t>
        </is>
      </c>
      <c r="M126" t="n">
        <v>0</v>
      </c>
      <c r="N126" t="inlineStr">
        <is>
          <t>AUD</t>
        </is>
      </c>
      <c r="O126" t="n">
        <v>0</v>
      </c>
      <c r="P126" t="inlineStr">
        <is>
          <t>AUD</t>
        </is>
      </c>
      <c r="Q126" t="n">
        <v>30</v>
      </c>
    </row>
    <row r="127">
      <c r="A127" t="inlineStr">
        <is>
          <t>2026-09-24_BHP.AX</t>
        </is>
      </c>
      <c r="B127" t="inlineStr">
        <is>
          <t>BHP</t>
        </is>
      </c>
      <c r="C127" s="5" t="n">
        <v>46289</v>
      </c>
      <c r="D127" t="n">
        <v>163</v>
      </c>
      <c r="F127" t="inlineStr">
        <is>
          <t>LOCAL</t>
        </is>
      </c>
      <c r="G127" t="n">
        <v>0</v>
      </c>
      <c r="H127" t="inlineStr">
        <is>
          <t>AUD</t>
        </is>
      </c>
      <c r="I127" t="n">
        <v>1.379887</v>
      </c>
      <c r="J127" t="inlineStr">
        <is>
          <t>AUD</t>
        </is>
      </c>
      <c r="K127" t="n">
        <v>0</v>
      </c>
      <c r="L127" t="inlineStr">
        <is>
          <t>AUD</t>
        </is>
      </c>
      <c r="M127" t="n">
        <v>0</v>
      </c>
      <c r="N127" t="inlineStr">
        <is>
          <t>AUD</t>
        </is>
      </c>
      <c r="O127" t="n">
        <v>0</v>
      </c>
      <c r="P127" t="inlineStr">
        <is>
          <t>AUD</t>
        </is>
      </c>
      <c r="Q127" t="n">
        <v>30</v>
      </c>
    </row>
  </sheetData>
  <dataValidations count="6">
    <dataValidation sqref="F2:F627" showDropDown="0" showInputMessage="0" showErrorMessage="1" allowBlank="1" errorTitle="Not an allowed value" error="Pick a value for dividend_type from the list." type="list">
      <formula1>'ValueAssistance'!$G$2:$G$3</formula1>
    </dataValidation>
    <dataValidation sqref="H2:H627" showDropDown="0" showInputMessage="0" showErrorMessage="1" allowBlank="1" errorTitle="Not an allowed value" error="Pick a value for unfranked_amount_per_share_currency from the list." type="list">
      <formula1>'ValueAssistance'!$B$2:$B$308</formula1>
    </dataValidation>
    <dataValidation sqref="J2:J627" showDropDown="0" showInputMessage="0" showErrorMessage="1" allowBlank="1" errorTitle="Not an allowed value" error="Pick a value for franked_amount_per_share_currency from the list." type="list">
      <formula1>'ValueAssistance'!$B$2:$B$308</formula1>
    </dataValidation>
    <dataValidation sqref="L2:L627" showDropDown="0" showInputMessage="0" showErrorMessage="1" allowBlank="1" errorTitle="Not an allowed value" error="Pick a value for local_withholding_tax_currency from the list." type="list">
      <formula1>'ValueAssistance'!$B$2:$B$308</formula1>
    </dataValidation>
    <dataValidation sqref="N2:N627" showDropDown="0" showInputMessage="0" showErrorMessage="1" allowBlank="1" errorTitle="Not an allowed value" error="Pick a value for foreign_tax_credit_currency from the list." type="list">
      <formula1>'ValueAssistance'!$B$2:$B$308</formula1>
    </dataValidation>
    <dataValidation sqref="P2:P627" showDropDown="0" showInputMessage="0" showErrorMessage="1" allowBlank="1" errorTitle="Not an allowed value" error="Pick a value for lic_capital_gain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86"/>
  <sheetViews>
    <sheetView workbookViewId="0">
      <pane ySplit="1" topLeftCell="A2" activePane="bottomLeft" state="frozen"/>
      <selection pane="bottomLeft" activeCell="A1" sqref="A1"/>
    </sheetView>
  </sheetViews>
  <sheetFormatPr baseColWidth="8" defaultRowHeight="15"/>
  <cols>
    <col width="20.2" customWidth="1" min="1" max="1"/>
    <col width="18.2" customWidth="1" min="2" max="2"/>
    <col width="12.2" customWidth="1" min="3" max="3"/>
    <col width="10.2" customWidth="1" min="4" max="4"/>
    <col width="6.2" customWidth="1" min="5" max="5"/>
    <col width="31.2" customWidth="1" min="6" max="6"/>
    <col width="40.2" customWidth="1" min="7" max="7"/>
    <col width="23.2" customWidth="1" min="8" max="8"/>
    <col width="32.2" customWidth="1" min="9" max="9"/>
    <col width="63.2" customWidth="1" min="10" max="10"/>
  </cols>
  <sheetData>
    <row r="1" ht="32" customHeight="1">
      <c r="A1" s="1" t="inlineStr">
        <is>
          <t>legacy_id</t>
        </is>
      </c>
      <c r="B1" s="1" t="inlineStr">
        <is>
          <t>instrument__name</t>
        </is>
      </c>
      <c r="C1" s="1" t="inlineStr">
        <is>
          <t>date</t>
        </is>
      </c>
      <c r="D1" s="1" t="inlineStr">
        <is>
          <t>quantity</t>
        </is>
      </c>
      <c r="E1" s="1" t="inlineStr">
        <is>
          <t>file</t>
        </is>
      </c>
      <c r="F1" s="1" t="inlineStr">
        <is>
          <t>distribution_amount_per_share</t>
        </is>
      </c>
      <c r="G1" s="1" t="inlineStr">
        <is>
          <t>distribution_amount_per_share_currency</t>
        </is>
      </c>
      <c r="H1" s="1" t="inlineStr">
        <is>
          <t>total_withholding_tax</t>
        </is>
      </c>
      <c r="I1" s="1" t="inlineStr">
        <is>
          <t>total_withholding_tax_currency</t>
        </is>
      </c>
      <c r="J1" s="1" t="inlineStr">
        <is>
          <t>notes</t>
        </is>
      </c>
    </row>
    <row r="2">
      <c r="A2" t="inlineStr">
        <is>
          <t>2016-10-18_VGS.AX</t>
        </is>
      </c>
      <c r="B2" t="inlineStr">
        <is>
          <t>VGS</t>
        </is>
      </c>
      <c r="C2" s="5" t="n">
        <v>42661</v>
      </c>
      <c r="D2" t="n">
        <v>22</v>
      </c>
      <c r="F2" t="n">
        <v>0.247087</v>
      </c>
      <c r="G2" t="inlineStr">
        <is>
          <t>AUD</t>
        </is>
      </c>
      <c r="H2" t="n">
        <v>0.01</v>
      </c>
      <c r="I2" t="inlineStr">
        <is>
          <t>AUD</t>
        </is>
      </c>
      <c r="J2" t="inlineStr">
        <is>
          <t>FAKE DATA - generated for demonstration, not a real portfolio</t>
        </is>
      </c>
    </row>
    <row r="3">
      <c r="A3" t="inlineStr">
        <is>
          <t>2016-10-18_VAS.AX</t>
        </is>
      </c>
      <c r="B3" t="inlineStr">
        <is>
          <t>VAS</t>
        </is>
      </c>
      <c r="C3" s="5" t="n">
        <v>42661</v>
      </c>
      <c r="D3" t="n">
        <v>14</v>
      </c>
      <c r="F3" t="n">
        <v>0.994358</v>
      </c>
      <c r="G3" t="inlineStr">
        <is>
          <t>AUD</t>
        </is>
      </c>
      <c r="H3" t="n">
        <v>0.03</v>
      </c>
      <c r="I3" t="inlineStr">
        <is>
          <t>AUD</t>
        </is>
      </c>
    </row>
    <row r="4">
      <c r="A4" t="inlineStr">
        <is>
          <t>2017-01-17_VGS.AX</t>
        </is>
      </c>
      <c r="B4" t="inlineStr">
        <is>
          <t>VGS</t>
        </is>
      </c>
      <c r="C4" s="5" t="n">
        <v>42752</v>
      </c>
      <c r="D4" t="n">
        <v>86</v>
      </c>
      <c r="F4" t="n">
        <v>0.358562</v>
      </c>
      <c r="G4" t="inlineStr">
        <is>
          <t>AUD</t>
        </is>
      </c>
      <c r="H4" t="n">
        <v>0.04</v>
      </c>
      <c r="I4" t="inlineStr">
        <is>
          <t>AUD</t>
        </is>
      </c>
    </row>
    <row r="5">
      <c r="A5" t="inlineStr">
        <is>
          <t>2017-01-17_VAS.AX</t>
        </is>
      </c>
      <c r="B5" t="inlineStr">
        <is>
          <t>VAS</t>
        </is>
      </c>
      <c r="C5" s="5" t="n">
        <v>42752</v>
      </c>
      <c r="D5" t="n">
        <v>56</v>
      </c>
      <c r="F5" t="n">
        <v>0.930364</v>
      </c>
      <c r="G5" t="inlineStr">
        <is>
          <t>AUD</t>
        </is>
      </c>
      <c r="H5" t="n">
        <v>0.17</v>
      </c>
      <c r="I5" t="inlineStr">
        <is>
          <t>AUD</t>
        </is>
      </c>
    </row>
    <row r="6">
      <c r="A6" t="inlineStr">
        <is>
          <t>2017-04-17_VGS.AX</t>
        </is>
      </c>
      <c r="B6" t="inlineStr">
        <is>
          <t>VGS</t>
        </is>
      </c>
      <c r="C6" s="5" t="n">
        <v>42842</v>
      </c>
      <c r="D6" t="n">
        <v>160</v>
      </c>
      <c r="F6" t="n">
        <v>0.264939</v>
      </c>
      <c r="G6" t="inlineStr">
        <is>
          <t>AUD</t>
        </is>
      </c>
      <c r="H6" t="n">
        <v>0.14</v>
      </c>
      <c r="I6" t="inlineStr">
        <is>
          <t>AUD</t>
        </is>
      </c>
    </row>
    <row r="7">
      <c r="A7" t="inlineStr">
        <is>
          <t>2017-04-17_VAS.AX</t>
        </is>
      </c>
      <c r="B7" t="inlineStr">
        <is>
          <t>VAS</t>
        </is>
      </c>
      <c r="C7" s="5" t="n">
        <v>42842</v>
      </c>
      <c r="D7" t="n">
        <v>105</v>
      </c>
      <c r="F7" t="n">
        <v>0.550688</v>
      </c>
      <c r="G7" t="inlineStr">
        <is>
          <t>AUD</t>
        </is>
      </c>
      <c r="H7" t="n">
        <v>0.22</v>
      </c>
      <c r="I7" t="inlineStr">
        <is>
          <t>AUD</t>
        </is>
      </c>
    </row>
    <row r="8">
      <c r="A8" t="inlineStr">
        <is>
          <t>2017-07-17_VGS.AX</t>
        </is>
      </c>
      <c r="B8" t="inlineStr">
        <is>
          <t>VGS</t>
        </is>
      </c>
      <c r="C8" s="5" t="n">
        <v>42933</v>
      </c>
      <c r="D8" t="n">
        <v>235</v>
      </c>
      <c r="F8" t="n">
        <v>1.006588</v>
      </c>
      <c r="G8" t="inlineStr">
        <is>
          <t>AUD</t>
        </is>
      </c>
      <c r="H8" t="n">
        <v>0.6899999999999999</v>
      </c>
      <c r="I8" t="inlineStr">
        <is>
          <t>AUD</t>
        </is>
      </c>
    </row>
    <row r="9">
      <c r="A9" t="inlineStr">
        <is>
          <t>2017-07-17_VAS.AX</t>
        </is>
      </c>
      <c r="B9" t="inlineStr">
        <is>
          <t>VAS</t>
        </is>
      </c>
      <c r="C9" s="5" t="n">
        <v>42933</v>
      </c>
      <c r="D9" t="n">
        <v>155</v>
      </c>
      <c r="F9" t="n">
        <v>0.461387</v>
      </c>
      <c r="G9" t="inlineStr">
        <is>
          <t>AUD</t>
        </is>
      </c>
      <c r="H9" t="n">
        <v>0.08</v>
      </c>
      <c r="I9" t="inlineStr">
        <is>
          <t>AUD</t>
        </is>
      </c>
    </row>
    <row r="10">
      <c r="A10" t="inlineStr">
        <is>
          <t>2017-10-16_VGS.AX</t>
        </is>
      </c>
      <c r="B10" t="inlineStr">
        <is>
          <t>VGS</t>
        </is>
      </c>
      <c r="C10" s="5" t="n">
        <v>43024</v>
      </c>
      <c r="D10" t="n">
        <v>317</v>
      </c>
      <c r="F10" t="n">
        <v>0.239648</v>
      </c>
      <c r="G10" t="inlineStr">
        <is>
          <t>AUD</t>
        </is>
      </c>
      <c r="H10" t="n">
        <v>0.15</v>
      </c>
      <c r="I10" t="inlineStr">
        <is>
          <t>AUD</t>
        </is>
      </c>
    </row>
    <row r="11">
      <c r="A11" t="inlineStr">
        <is>
          <t>2017-10-16_VAS.AX</t>
        </is>
      </c>
      <c r="B11" t="inlineStr">
        <is>
          <t>VAS</t>
        </is>
      </c>
      <c r="C11" s="5" t="n">
        <v>43024</v>
      </c>
      <c r="D11" t="n">
        <v>210</v>
      </c>
      <c r="F11" t="n">
        <v>0.983422</v>
      </c>
      <c r="G11" t="inlineStr">
        <is>
          <t>AUD</t>
        </is>
      </c>
      <c r="H11" t="n">
        <v>0.03</v>
      </c>
      <c r="I11" t="inlineStr">
        <is>
          <t>AUD</t>
        </is>
      </c>
    </row>
    <row r="12">
      <c r="A12" t="inlineStr">
        <is>
          <t>2018-01-16_VGS.AX</t>
        </is>
      </c>
      <c r="B12" t="inlineStr">
        <is>
          <t>VGS</t>
        </is>
      </c>
      <c r="C12" s="5" t="n">
        <v>43116</v>
      </c>
      <c r="D12" t="n">
        <v>369</v>
      </c>
      <c r="F12" t="n">
        <v>0.304192</v>
      </c>
      <c r="G12" t="inlineStr">
        <is>
          <t>AUD</t>
        </is>
      </c>
      <c r="H12" t="n">
        <v>0.39</v>
      </c>
      <c r="I12" t="inlineStr">
        <is>
          <t>AUD</t>
        </is>
      </c>
    </row>
    <row r="13">
      <c r="A13" t="inlineStr">
        <is>
          <t>2018-01-16_VAS.AX</t>
        </is>
      </c>
      <c r="B13" t="inlineStr">
        <is>
          <t>VAS</t>
        </is>
      </c>
      <c r="C13" s="5" t="n">
        <v>43116</v>
      </c>
      <c r="D13" t="n">
        <v>247</v>
      </c>
      <c r="F13" t="n">
        <v>0.682118</v>
      </c>
      <c r="G13" t="inlineStr">
        <is>
          <t>AUD</t>
        </is>
      </c>
      <c r="H13" t="n">
        <v>0.3</v>
      </c>
      <c r="I13" t="inlineStr">
        <is>
          <t>AUD</t>
        </is>
      </c>
    </row>
    <row r="14">
      <c r="A14" t="inlineStr">
        <is>
          <t>2018-04-17_VGS.AX</t>
        </is>
      </c>
      <c r="B14" t="inlineStr">
        <is>
          <t>VGS</t>
        </is>
      </c>
      <c r="C14" s="5" t="n">
        <v>43207</v>
      </c>
      <c r="D14" t="n">
        <v>445</v>
      </c>
      <c r="F14" t="n">
        <v>0.215727</v>
      </c>
      <c r="G14" t="inlineStr">
        <is>
          <t>AUD</t>
        </is>
      </c>
      <c r="H14" t="n">
        <v>0.24</v>
      </c>
      <c r="I14" t="inlineStr">
        <is>
          <t>AUD</t>
        </is>
      </c>
    </row>
    <row r="15">
      <c r="A15" t="inlineStr">
        <is>
          <t>2018-04-17_VAS.AX</t>
        </is>
      </c>
      <c r="B15" t="inlineStr">
        <is>
          <t>VAS</t>
        </is>
      </c>
      <c r="C15" s="5" t="n">
        <v>43207</v>
      </c>
      <c r="D15" t="n">
        <v>301</v>
      </c>
      <c r="F15" t="n">
        <v>0.649641</v>
      </c>
      <c r="G15" t="inlineStr">
        <is>
          <t>AUD</t>
        </is>
      </c>
      <c r="H15" t="n">
        <v>0.63</v>
      </c>
      <c r="I15" t="inlineStr">
        <is>
          <t>AUD</t>
        </is>
      </c>
    </row>
    <row r="16">
      <c r="A16" t="inlineStr">
        <is>
          <t>2018-07-16_VGS.AX</t>
        </is>
      </c>
      <c r="B16" t="inlineStr">
        <is>
          <t>VGS</t>
        </is>
      </c>
      <c r="C16" s="5" t="n">
        <v>43297</v>
      </c>
      <c r="D16" t="n">
        <v>499</v>
      </c>
      <c r="F16" t="n">
        <v>0.9278189999999999</v>
      </c>
      <c r="G16" t="inlineStr">
        <is>
          <t>AUD</t>
        </is>
      </c>
      <c r="H16" t="n">
        <v>1.8</v>
      </c>
      <c r="I16" t="inlineStr">
        <is>
          <t>AUD</t>
        </is>
      </c>
    </row>
    <row r="17">
      <c r="A17" t="inlineStr">
        <is>
          <t>2018-07-16_A200.AX</t>
        </is>
      </c>
      <c r="B17" t="inlineStr">
        <is>
          <t>A200</t>
        </is>
      </c>
      <c r="C17" s="5" t="n">
        <v>43297</v>
      </c>
      <c r="D17" t="n">
        <v>8</v>
      </c>
      <c r="F17" t="n">
        <v>0.20213</v>
      </c>
      <c r="G17" t="inlineStr">
        <is>
          <t>AUD</t>
        </is>
      </c>
      <c r="H17" t="n">
        <v>0</v>
      </c>
      <c r="I17" t="inlineStr">
        <is>
          <t>AUD</t>
        </is>
      </c>
    </row>
    <row r="18">
      <c r="A18" t="inlineStr">
        <is>
          <t>2018-07-16_VAS.AX</t>
        </is>
      </c>
      <c r="B18" t="inlineStr">
        <is>
          <t>VAS</t>
        </is>
      </c>
      <c r="C18" s="5" t="n">
        <v>43297</v>
      </c>
      <c r="D18" t="n">
        <v>328</v>
      </c>
      <c r="F18" t="n">
        <v>1.035617</v>
      </c>
      <c r="G18" t="inlineStr">
        <is>
          <t>AUD</t>
        </is>
      </c>
      <c r="H18" t="n">
        <v>1.3</v>
      </c>
      <c r="I18" t="inlineStr">
        <is>
          <t>AUD</t>
        </is>
      </c>
    </row>
    <row r="19">
      <c r="A19" t="inlineStr">
        <is>
          <t>2018-10-15_VGS.AX</t>
        </is>
      </c>
      <c r="B19" t="inlineStr">
        <is>
          <t>VGS</t>
        </is>
      </c>
      <c r="C19" s="5" t="n">
        <v>43388</v>
      </c>
      <c r="D19" t="n">
        <v>569</v>
      </c>
      <c r="F19" t="n">
        <v>0.305294</v>
      </c>
      <c r="G19" t="inlineStr">
        <is>
          <t>AUD</t>
        </is>
      </c>
      <c r="H19" t="n">
        <v>0.34</v>
      </c>
      <c r="I19" t="inlineStr">
        <is>
          <t>AUD</t>
        </is>
      </c>
    </row>
    <row r="20">
      <c r="A20" t="inlineStr">
        <is>
          <t>2018-10-15_A200.AX</t>
        </is>
      </c>
      <c r="B20" t="inlineStr">
        <is>
          <t>A200</t>
        </is>
      </c>
      <c r="C20" s="5" t="n">
        <v>43388</v>
      </c>
      <c r="D20" t="n">
        <v>47</v>
      </c>
      <c r="F20" t="n">
        <v>1.097834</v>
      </c>
      <c r="G20" t="inlineStr">
        <is>
          <t>AUD</t>
        </is>
      </c>
      <c r="H20" t="n">
        <v>0.07000000000000001</v>
      </c>
      <c r="I20" t="inlineStr">
        <is>
          <t>AUD</t>
        </is>
      </c>
    </row>
    <row r="21">
      <c r="A21" t="inlineStr">
        <is>
          <t>2018-10-15_VAS.AX</t>
        </is>
      </c>
      <c r="B21" t="inlineStr">
        <is>
          <t>VAS</t>
        </is>
      </c>
      <c r="C21" s="5" t="n">
        <v>43388</v>
      </c>
      <c r="D21" t="n">
        <v>328</v>
      </c>
      <c r="F21" t="n">
        <v>1.135101</v>
      </c>
      <c r="G21" t="inlineStr">
        <is>
          <t>AUD</t>
        </is>
      </c>
      <c r="H21" t="n">
        <v>0.8100000000000001</v>
      </c>
      <c r="I21" t="inlineStr">
        <is>
          <t>AUD</t>
        </is>
      </c>
    </row>
    <row r="22">
      <c r="A22" t="inlineStr">
        <is>
          <t>2019-01-16_VGS.AX</t>
        </is>
      </c>
      <c r="B22" t="inlineStr">
        <is>
          <t>VGS</t>
        </is>
      </c>
      <c r="C22" s="5" t="n">
        <v>43481</v>
      </c>
      <c r="D22" t="n">
        <v>632</v>
      </c>
      <c r="F22" t="n">
        <v>0.394046</v>
      </c>
      <c r="G22" t="inlineStr">
        <is>
          <t>AUD</t>
        </is>
      </c>
      <c r="H22" t="n">
        <v>0.36</v>
      </c>
      <c r="I22" t="inlineStr">
        <is>
          <t>AUD</t>
        </is>
      </c>
    </row>
    <row r="23">
      <c r="A23" t="inlineStr">
        <is>
          <t>2019-01-16_A200.AX</t>
        </is>
      </c>
      <c r="B23" t="inlineStr">
        <is>
          <t>A200</t>
        </is>
      </c>
      <c r="C23" s="5" t="n">
        <v>43481</v>
      </c>
      <c r="D23" t="n">
        <v>83</v>
      </c>
      <c r="F23" t="n">
        <v>0.677545</v>
      </c>
      <c r="G23" t="inlineStr">
        <is>
          <t>AUD</t>
        </is>
      </c>
      <c r="H23" t="n">
        <v>0.16</v>
      </c>
      <c r="I23" t="inlineStr">
        <is>
          <t>AUD</t>
        </is>
      </c>
    </row>
    <row r="24">
      <c r="A24" t="inlineStr">
        <is>
          <t>2019-01-16_VAS.AX</t>
        </is>
      </c>
      <c r="B24" t="inlineStr">
        <is>
          <t>VAS</t>
        </is>
      </c>
      <c r="C24" s="5" t="n">
        <v>43481</v>
      </c>
      <c r="D24" t="n">
        <v>328</v>
      </c>
      <c r="F24" t="n">
        <v>0.69582</v>
      </c>
      <c r="G24" t="inlineStr">
        <is>
          <t>AUD</t>
        </is>
      </c>
      <c r="H24" t="n">
        <v>0.29</v>
      </c>
      <c r="I24" t="inlineStr">
        <is>
          <t>AUD</t>
        </is>
      </c>
    </row>
    <row r="25">
      <c r="A25" t="inlineStr">
        <is>
          <t>2019-04-15_VGS.AX</t>
        </is>
      </c>
      <c r="B25" t="inlineStr">
        <is>
          <t>VGS</t>
        </is>
      </c>
      <c r="C25" s="5" t="n">
        <v>43570</v>
      </c>
      <c r="D25" t="n">
        <v>696</v>
      </c>
      <c r="F25" t="n">
        <v>0.471838</v>
      </c>
      <c r="G25" t="inlineStr">
        <is>
          <t>AUD</t>
        </is>
      </c>
      <c r="H25" t="n">
        <v>0.74</v>
      </c>
      <c r="I25" t="inlineStr">
        <is>
          <t>AUD</t>
        </is>
      </c>
    </row>
    <row r="26">
      <c r="A26" t="inlineStr">
        <is>
          <t>2019-04-15_A200.AX</t>
        </is>
      </c>
      <c r="B26" t="inlineStr">
        <is>
          <t>A200</t>
        </is>
      </c>
      <c r="C26" s="5" t="n">
        <v>43570</v>
      </c>
      <c r="D26" t="n">
        <v>118</v>
      </c>
      <c r="F26" t="n">
        <v>0.930579</v>
      </c>
      <c r="G26" t="inlineStr">
        <is>
          <t>AUD</t>
        </is>
      </c>
      <c r="H26" t="n">
        <v>0.14</v>
      </c>
      <c r="I26" t="inlineStr">
        <is>
          <t>AUD</t>
        </is>
      </c>
    </row>
    <row r="27">
      <c r="A27" t="inlineStr">
        <is>
          <t>2019-04-15_VAS.AX</t>
        </is>
      </c>
      <c r="B27" t="inlineStr">
        <is>
          <t>VAS</t>
        </is>
      </c>
      <c r="C27" s="5" t="n">
        <v>43570</v>
      </c>
      <c r="D27" t="n">
        <v>131</v>
      </c>
      <c r="F27" t="n">
        <v>0.889916</v>
      </c>
      <c r="G27" t="inlineStr">
        <is>
          <t>AUD</t>
        </is>
      </c>
      <c r="H27" t="n">
        <v>0.18</v>
      </c>
      <c r="I27" t="inlineStr">
        <is>
          <t>AUD</t>
        </is>
      </c>
    </row>
    <row r="28">
      <c r="A28" t="inlineStr">
        <is>
          <t>2019-07-15_VGS.AX</t>
        </is>
      </c>
      <c r="B28" t="inlineStr">
        <is>
          <t>VGS</t>
        </is>
      </c>
      <c r="C28" s="5" t="n">
        <v>43661</v>
      </c>
      <c r="D28" t="n">
        <v>761</v>
      </c>
      <c r="F28" t="n">
        <v>0.742723</v>
      </c>
      <c r="G28" t="inlineStr">
        <is>
          <t>AUD</t>
        </is>
      </c>
      <c r="H28" t="n">
        <v>1.72</v>
      </c>
      <c r="I28" t="inlineStr">
        <is>
          <t>AUD</t>
        </is>
      </c>
    </row>
    <row r="29">
      <c r="A29" t="inlineStr">
        <is>
          <t>2019-07-15_A200.AX</t>
        </is>
      </c>
      <c r="B29" t="inlineStr">
        <is>
          <t>A200</t>
        </is>
      </c>
      <c r="C29" s="5" t="n">
        <v>43661</v>
      </c>
      <c r="D29" t="n">
        <v>154</v>
      </c>
      <c r="F29" t="n">
        <v>1.092549</v>
      </c>
      <c r="G29" t="inlineStr">
        <is>
          <t>AUD</t>
        </is>
      </c>
      <c r="H29" t="n">
        <v>0.34</v>
      </c>
      <c r="I29" t="inlineStr">
        <is>
          <t>AUD</t>
        </is>
      </c>
    </row>
    <row r="30">
      <c r="A30" t="inlineStr">
        <is>
          <t>2019-07-15_VAS.AX</t>
        </is>
      </c>
      <c r="B30" t="inlineStr">
        <is>
          <t>VAS</t>
        </is>
      </c>
      <c r="C30" s="5" t="n">
        <v>43661</v>
      </c>
      <c r="D30" t="n">
        <v>131</v>
      </c>
      <c r="F30" t="n">
        <v>0.805009</v>
      </c>
      <c r="G30" t="inlineStr">
        <is>
          <t>AUD</t>
        </is>
      </c>
      <c r="H30" t="n">
        <v>0.36</v>
      </c>
      <c r="I30" t="inlineStr">
        <is>
          <t>AUD</t>
        </is>
      </c>
    </row>
    <row r="31">
      <c r="A31" t="inlineStr">
        <is>
          <t>2019-10-15_VGS.AX</t>
        </is>
      </c>
      <c r="B31" t="inlineStr">
        <is>
          <t>VGS</t>
        </is>
      </c>
      <c r="C31" s="5" t="n">
        <v>43753</v>
      </c>
      <c r="D31" t="n">
        <v>826</v>
      </c>
      <c r="F31" t="n">
        <v>0.380133</v>
      </c>
      <c r="G31" t="inlineStr">
        <is>
          <t>AUD</t>
        </is>
      </c>
      <c r="H31" t="n">
        <v>1.21</v>
      </c>
      <c r="I31" t="inlineStr">
        <is>
          <t>AUD</t>
        </is>
      </c>
    </row>
    <row r="32">
      <c r="A32" t="inlineStr">
        <is>
          <t>2019-10-15_A200.AX</t>
        </is>
      </c>
      <c r="B32" t="inlineStr">
        <is>
          <t>A200</t>
        </is>
      </c>
      <c r="C32" s="5" t="n">
        <v>43753</v>
      </c>
      <c r="D32" t="n">
        <v>190</v>
      </c>
      <c r="F32" t="n">
        <v>1.398613</v>
      </c>
      <c r="G32" t="inlineStr">
        <is>
          <t>AUD</t>
        </is>
      </c>
      <c r="H32" t="n">
        <v>0.1</v>
      </c>
      <c r="I32" t="inlineStr">
        <is>
          <t>AUD</t>
        </is>
      </c>
    </row>
    <row r="33">
      <c r="A33" t="inlineStr">
        <is>
          <t>2020-01-16_VGS.AX</t>
        </is>
      </c>
      <c r="B33" t="inlineStr">
        <is>
          <t>VGS</t>
        </is>
      </c>
      <c r="C33" s="5" t="n">
        <v>43846</v>
      </c>
      <c r="D33" t="n">
        <v>884</v>
      </c>
      <c r="F33" t="n">
        <v>0.451612</v>
      </c>
      <c r="G33" t="inlineStr">
        <is>
          <t>AUD</t>
        </is>
      </c>
      <c r="H33" t="n">
        <v>1.39</v>
      </c>
      <c r="I33" t="inlineStr">
        <is>
          <t>AUD</t>
        </is>
      </c>
    </row>
    <row r="34">
      <c r="A34" t="inlineStr">
        <is>
          <t>2020-01-16_A200.AX</t>
        </is>
      </c>
      <c r="B34" t="inlineStr">
        <is>
          <t>A200</t>
        </is>
      </c>
      <c r="C34" s="5" t="n">
        <v>43846</v>
      </c>
      <c r="D34" t="n">
        <v>223</v>
      </c>
      <c r="F34" t="n">
        <v>1.152568</v>
      </c>
      <c r="G34" t="inlineStr">
        <is>
          <t>AUD</t>
        </is>
      </c>
      <c r="H34" t="n">
        <v>0.21</v>
      </c>
      <c r="I34" t="inlineStr">
        <is>
          <t>AUD</t>
        </is>
      </c>
    </row>
    <row r="35">
      <c r="A35" t="inlineStr">
        <is>
          <t>2020-04-15_VGS.AX</t>
        </is>
      </c>
      <c r="B35" t="inlineStr">
        <is>
          <t>VGS</t>
        </is>
      </c>
      <c r="C35" s="5" t="n">
        <v>43936</v>
      </c>
      <c r="D35" t="n">
        <v>934</v>
      </c>
      <c r="F35" t="n">
        <v>0.457803</v>
      </c>
      <c r="G35" t="inlineStr">
        <is>
          <t>AUD</t>
        </is>
      </c>
      <c r="H35" t="n">
        <v>1.58</v>
      </c>
      <c r="I35" t="inlineStr">
        <is>
          <t>AUD</t>
        </is>
      </c>
    </row>
    <row r="36">
      <c r="A36" t="inlineStr">
        <is>
          <t>2020-04-15_A200.AX</t>
        </is>
      </c>
      <c r="B36" t="inlineStr">
        <is>
          <t>A200</t>
        </is>
      </c>
      <c r="C36" s="5" t="n">
        <v>43936</v>
      </c>
      <c r="D36" t="n">
        <v>253</v>
      </c>
      <c r="F36" t="n">
        <v>0.432706</v>
      </c>
      <c r="G36" t="inlineStr">
        <is>
          <t>AUD</t>
        </is>
      </c>
      <c r="H36" t="n">
        <v>0.11</v>
      </c>
      <c r="I36" t="inlineStr">
        <is>
          <t>AUD</t>
        </is>
      </c>
    </row>
    <row r="37">
      <c r="A37" t="inlineStr">
        <is>
          <t>2020-07-15_VGS.AX</t>
        </is>
      </c>
      <c r="B37" t="inlineStr">
        <is>
          <t>VGS</t>
        </is>
      </c>
      <c r="C37" s="5" t="n">
        <v>44027</v>
      </c>
      <c r="D37" t="n">
        <v>986</v>
      </c>
      <c r="F37" t="n">
        <v>0.653833</v>
      </c>
      <c r="G37" t="inlineStr">
        <is>
          <t>AUD</t>
        </is>
      </c>
      <c r="H37" t="n">
        <v>0.07000000000000001</v>
      </c>
      <c r="I37" t="inlineStr">
        <is>
          <t>AUD</t>
        </is>
      </c>
    </row>
    <row r="38">
      <c r="A38" t="inlineStr">
        <is>
          <t>2020-07-15_A200.AX</t>
        </is>
      </c>
      <c r="B38" t="inlineStr">
        <is>
          <t>A200</t>
        </is>
      </c>
      <c r="C38" s="5" t="n">
        <v>44027</v>
      </c>
      <c r="D38" t="n">
        <v>286</v>
      </c>
      <c r="F38" t="n">
        <v>0.579681</v>
      </c>
      <c r="G38" t="inlineStr">
        <is>
          <t>AUD</t>
        </is>
      </c>
      <c r="H38" t="n">
        <v>0.33</v>
      </c>
      <c r="I38" t="inlineStr">
        <is>
          <t>AUD</t>
        </is>
      </c>
    </row>
    <row r="39">
      <c r="A39" t="inlineStr">
        <is>
          <t>2020-10-15_VGS.AX</t>
        </is>
      </c>
      <c r="B39" t="inlineStr">
        <is>
          <t>VGS</t>
        </is>
      </c>
      <c r="C39" s="5" t="n">
        <v>44119</v>
      </c>
      <c r="D39" t="n">
        <v>1040</v>
      </c>
      <c r="F39" t="n">
        <v>0.339639</v>
      </c>
      <c r="G39" t="inlineStr">
        <is>
          <t>AUD</t>
        </is>
      </c>
      <c r="H39" t="n">
        <v>0.61</v>
      </c>
      <c r="I39" t="inlineStr">
        <is>
          <t>AUD</t>
        </is>
      </c>
    </row>
    <row r="40">
      <c r="A40" t="inlineStr">
        <is>
          <t>2020-10-15_A200.AX</t>
        </is>
      </c>
      <c r="B40" t="inlineStr">
        <is>
          <t>A200</t>
        </is>
      </c>
      <c r="C40" s="5" t="n">
        <v>44119</v>
      </c>
      <c r="D40" t="n">
        <v>320</v>
      </c>
      <c r="F40" t="n">
        <v>0.674859</v>
      </c>
      <c r="G40" t="inlineStr">
        <is>
          <t>AUD</t>
        </is>
      </c>
      <c r="H40" t="n">
        <v>0.46</v>
      </c>
      <c r="I40" t="inlineStr">
        <is>
          <t>AUD</t>
        </is>
      </c>
    </row>
    <row r="41">
      <c r="A41" t="inlineStr">
        <is>
          <t>2021-01-18_VGS.AX</t>
        </is>
      </c>
      <c r="B41" t="inlineStr">
        <is>
          <t>VGS</t>
        </is>
      </c>
      <c r="C41" s="5" t="n">
        <v>44214</v>
      </c>
      <c r="D41" t="n">
        <v>1097</v>
      </c>
      <c r="F41" t="n">
        <v>0.411962</v>
      </c>
      <c r="G41" t="inlineStr">
        <is>
          <t>AUD</t>
        </is>
      </c>
      <c r="H41" t="n">
        <v>0.23</v>
      </c>
      <c r="I41" t="inlineStr">
        <is>
          <t>AUD</t>
        </is>
      </c>
    </row>
    <row r="42">
      <c r="A42" t="inlineStr">
        <is>
          <t>2021-01-18_A200.AX</t>
        </is>
      </c>
      <c r="B42" t="inlineStr">
        <is>
          <t>A200</t>
        </is>
      </c>
      <c r="C42" s="5" t="n">
        <v>44214</v>
      </c>
      <c r="D42" t="n">
        <v>355</v>
      </c>
      <c r="F42" t="n">
        <v>0.637842</v>
      </c>
      <c r="G42" t="inlineStr">
        <is>
          <t>AUD</t>
        </is>
      </c>
      <c r="H42" t="n">
        <v>0.65</v>
      </c>
      <c r="I42" t="inlineStr">
        <is>
          <t>AUD</t>
        </is>
      </c>
    </row>
    <row r="43">
      <c r="A43" t="inlineStr">
        <is>
          <t>2021-04-15_VGS.AX</t>
        </is>
      </c>
      <c r="B43" t="inlineStr">
        <is>
          <t>VGS</t>
        </is>
      </c>
      <c r="C43" s="5" t="n">
        <v>44301</v>
      </c>
      <c r="D43" t="n">
        <v>1149</v>
      </c>
      <c r="F43" t="n">
        <v>0.310117</v>
      </c>
      <c r="G43" t="inlineStr">
        <is>
          <t>AUD</t>
        </is>
      </c>
      <c r="H43" t="n">
        <v>1.23</v>
      </c>
      <c r="I43" t="inlineStr">
        <is>
          <t>AUD</t>
        </is>
      </c>
    </row>
    <row r="44">
      <c r="A44" t="inlineStr">
        <is>
          <t>2021-04-15_A200.AX</t>
        </is>
      </c>
      <c r="B44" t="inlineStr">
        <is>
          <t>A200</t>
        </is>
      </c>
      <c r="C44" s="5" t="n">
        <v>44301</v>
      </c>
      <c r="D44" t="n">
        <v>387</v>
      </c>
      <c r="F44" t="n">
        <v>0.8895380000000001</v>
      </c>
      <c r="G44" t="inlineStr">
        <is>
          <t>AUD</t>
        </is>
      </c>
      <c r="H44" t="n">
        <v>0.5</v>
      </c>
      <c r="I44" t="inlineStr">
        <is>
          <t>AUD</t>
        </is>
      </c>
    </row>
    <row r="45">
      <c r="A45" t="inlineStr">
        <is>
          <t>2021-07-15_VGS.AX</t>
        </is>
      </c>
      <c r="B45" t="inlineStr">
        <is>
          <t>VGS</t>
        </is>
      </c>
      <c r="C45" s="5" t="n">
        <v>44392</v>
      </c>
      <c r="D45" t="n">
        <v>1194</v>
      </c>
      <c r="F45" t="n">
        <v>0.826481</v>
      </c>
      <c r="G45" t="inlineStr">
        <is>
          <t>AUD</t>
        </is>
      </c>
      <c r="H45" t="n">
        <v>2.83</v>
      </c>
      <c r="I45" t="inlineStr">
        <is>
          <t>AUD</t>
        </is>
      </c>
    </row>
    <row r="46">
      <c r="A46" t="inlineStr">
        <is>
          <t>2021-07-15_A200.AX</t>
        </is>
      </c>
      <c r="B46" t="inlineStr">
        <is>
          <t>A200</t>
        </is>
      </c>
      <c r="C46" s="5" t="n">
        <v>44392</v>
      </c>
      <c r="D46" t="n">
        <v>414</v>
      </c>
      <c r="F46" t="n">
        <v>0.555612</v>
      </c>
      <c r="G46" t="inlineStr">
        <is>
          <t>AUD</t>
        </is>
      </c>
      <c r="H46" t="n">
        <v>0.28</v>
      </c>
      <c r="I46" t="inlineStr">
        <is>
          <t>AUD</t>
        </is>
      </c>
    </row>
    <row r="47">
      <c r="A47" t="inlineStr">
        <is>
          <t>2021-10-15_VGS.AX</t>
        </is>
      </c>
      <c r="B47" t="inlineStr">
        <is>
          <t>VGS</t>
        </is>
      </c>
      <c r="C47" s="5" t="n">
        <v>44484</v>
      </c>
      <c r="D47" t="n">
        <v>1243</v>
      </c>
      <c r="F47" t="n">
        <v>0.335126</v>
      </c>
      <c r="G47" t="inlineStr">
        <is>
          <t>AUD</t>
        </is>
      </c>
      <c r="H47" t="n">
        <v>1.13</v>
      </c>
      <c r="I47" t="inlineStr">
        <is>
          <t>AUD</t>
        </is>
      </c>
    </row>
    <row r="48">
      <c r="A48" t="inlineStr">
        <is>
          <t>2021-10-15_A200.AX</t>
        </is>
      </c>
      <c r="B48" t="inlineStr">
        <is>
          <t>A200</t>
        </is>
      </c>
      <c r="C48" s="5" t="n">
        <v>44484</v>
      </c>
      <c r="D48" t="n">
        <v>445</v>
      </c>
      <c r="F48" t="n">
        <v>1.723499</v>
      </c>
      <c r="G48" t="inlineStr">
        <is>
          <t>AUD</t>
        </is>
      </c>
      <c r="H48" t="n">
        <v>2.87</v>
      </c>
      <c r="I48" t="inlineStr">
        <is>
          <t>AUD</t>
        </is>
      </c>
    </row>
    <row r="49">
      <c r="A49" t="inlineStr">
        <is>
          <t>2022-01-18_VGS.AX</t>
        </is>
      </c>
      <c r="B49" t="inlineStr">
        <is>
          <t>VGS</t>
        </is>
      </c>
      <c r="C49" s="5" t="n">
        <v>44579</v>
      </c>
      <c r="D49" t="n">
        <v>1286</v>
      </c>
      <c r="F49" t="n">
        <v>0.440394</v>
      </c>
      <c r="G49" t="inlineStr">
        <is>
          <t>AUD</t>
        </is>
      </c>
      <c r="H49" t="n">
        <v>0.82</v>
      </c>
      <c r="I49" t="inlineStr">
        <is>
          <t>AUD</t>
        </is>
      </c>
    </row>
    <row r="50">
      <c r="A50" t="inlineStr">
        <is>
          <t>2022-01-18_A200.AX</t>
        </is>
      </c>
      <c r="B50" t="inlineStr">
        <is>
          <t>A200</t>
        </is>
      </c>
      <c r="C50" s="5" t="n">
        <v>44579</v>
      </c>
      <c r="D50" t="n">
        <v>474</v>
      </c>
      <c r="F50" t="n">
        <v>0.788341</v>
      </c>
      <c r="G50" t="inlineStr">
        <is>
          <t>AUD</t>
        </is>
      </c>
      <c r="H50" t="n">
        <v>0.72</v>
      </c>
      <c r="I50" t="inlineStr">
        <is>
          <t>AUD</t>
        </is>
      </c>
    </row>
    <row r="51">
      <c r="A51" t="inlineStr">
        <is>
          <t>2022-04-15_VGS.AX</t>
        </is>
      </c>
      <c r="B51" t="inlineStr">
        <is>
          <t>VGS</t>
        </is>
      </c>
      <c r="C51" s="5" t="n">
        <v>44666</v>
      </c>
      <c r="D51" t="n">
        <v>1317</v>
      </c>
      <c r="F51" t="n">
        <v>0.411413</v>
      </c>
      <c r="G51" t="inlineStr">
        <is>
          <t>AUD</t>
        </is>
      </c>
      <c r="H51" t="n">
        <v>1.15</v>
      </c>
      <c r="I51" t="inlineStr">
        <is>
          <t>AUD</t>
        </is>
      </c>
    </row>
    <row r="52">
      <c r="A52" t="inlineStr">
        <is>
          <t>2022-04-15_A200.AX</t>
        </is>
      </c>
      <c r="B52" t="inlineStr">
        <is>
          <t>A200</t>
        </is>
      </c>
      <c r="C52" s="5" t="n">
        <v>44666</v>
      </c>
      <c r="D52" t="n">
        <v>493</v>
      </c>
      <c r="F52" t="n">
        <v>1.327435</v>
      </c>
      <c r="G52" t="inlineStr">
        <is>
          <t>AUD</t>
        </is>
      </c>
      <c r="H52" t="n">
        <v>0.55</v>
      </c>
      <c r="I52" t="inlineStr">
        <is>
          <t>AUD</t>
        </is>
      </c>
    </row>
    <row r="53">
      <c r="A53" t="inlineStr">
        <is>
          <t>2022-07-15_VGS.AX</t>
        </is>
      </c>
      <c r="B53" t="inlineStr">
        <is>
          <t>VGS</t>
        </is>
      </c>
      <c r="C53" s="5" t="n">
        <v>44757</v>
      </c>
      <c r="D53" t="n">
        <v>1356</v>
      </c>
      <c r="F53" t="n">
        <v>0.5557800000000001</v>
      </c>
      <c r="G53" t="inlineStr">
        <is>
          <t>AUD</t>
        </is>
      </c>
      <c r="H53" t="n">
        <v>0.57</v>
      </c>
      <c r="I53" t="inlineStr">
        <is>
          <t>AUD</t>
        </is>
      </c>
    </row>
    <row r="54">
      <c r="A54" t="inlineStr">
        <is>
          <t>2022-07-15_A200.AX</t>
        </is>
      </c>
      <c r="B54" t="inlineStr">
        <is>
          <t>A200</t>
        </is>
      </c>
      <c r="C54" s="5" t="n">
        <v>44757</v>
      </c>
      <c r="D54" t="n">
        <v>517</v>
      </c>
      <c r="F54" t="n">
        <v>3.459284</v>
      </c>
      <c r="G54" t="inlineStr">
        <is>
          <t>AUD</t>
        </is>
      </c>
      <c r="H54" t="n">
        <v>5.41</v>
      </c>
      <c r="I54" t="inlineStr">
        <is>
          <t>AUD</t>
        </is>
      </c>
    </row>
    <row r="55">
      <c r="A55" t="inlineStr">
        <is>
          <t>2022-10-17_VGS.AX</t>
        </is>
      </c>
      <c r="B55" t="inlineStr">
        <is>
          <t>VGS</t>
        </is>
      </c>
      <c r="C55" s="5" t="n">
        <v>44851</v>
      </c>
      <c r="D55" t="n">
        <v>1409</v>
      </c>
      <c r="F55" t="n">
        <v>0.350563</v>
      </c>
      <c r="G55" t="inlineStr">
        <is>
          <t>AUD</t>
        </is>
      </c>
      <c r="H55" t="n">
        <v>1.39</v>
      </c>
      <c r="I55" t="inlineStr">
        <is>
          <t>AUD</t>
        </is>
      </c>
    </row>
    <row r="56">
      <c r="A56" t="inlineStr">
        <is>
          <t>2022-10-17_A200.AX</t>
        </is>
      </c>
      <c r="B56" t="inlineStr">
        <is>
          <t>A200</t>
        </is>
      </c>
      <c r="C56" s="5" t="n">
        <v>44851</v>
      </c>
      <c r="D56" t="n">
        <v>552</v>
      </c>
      <c r="F56" t="n">
        <v>1.864947</v>
      </c>
      <c r="G56" t="inlineStr">
        <is>
          <t>AUD</t>
        </is>
      </c>
      <c r="H56" t="n">
        <v>2.8</v>
      </c>
      <c r="I56" t="inlineStr">
        <is>
          <t>AUD</t>
        </is>
      </c>
    </row>
    <row r="57">
      <c r="A57" t="inlineStr">
        <is>
          <t>2023-01-17_VGS.AX</t>
        </is>
      </c>
      <c r="B57" t="inlineStr">
        <is>
          <t>VGS</t>
        </is>
      </c>
      <c r="C57" s="5" t="n">
        <v>44943</v>
      </c>
      <c r="D57" t="n">
        <v>1459</v>
      </c>
      <c r="F57" t="n">
        <v>0.297149</v>
      </c>
      <c r="G57" t="inlineStr">
        <is>
          <t>AUD</t>
        </is>
      </c>
      <c r="H57" t="n">
        <v>0.25</v>
      </c>
      <c r="I57" t="inlineStr">
        <is>
          <t>AUD</t>
        </is>
      </c>
    </row>
    <row r="58">
      <c r="A58" t="inlineStr">
        <is>
          <t>2023-01-17_A200.AX</t>
        </is>
      </c>
      <c r="B58" t="inlineStr">
        <is>
          <t>A200</t>
        </is>
      </c>
      <c r="C58" s="5" t="n">
        <v>44943</v>
      </c>
      <c r="D58" t="n">
        <v>585</v>
      </c>
      <c r="F58" t="n">
        <v>1.106212</v>
      </c>
      <c r="G58" t="inlineStr">
        <is>
          <t>AUD</t>
        </is>
      </c>
      <c r="H58" t="n">
        <v>0.3</v>
      </c>
      <c r="I58" t="inlineStr">
        <is>
          <t>AUD</t>
        </is>
      </c>
    </row>
    <row r="59">
      <c r="A59" t="inlineStr">
        <is>
          <t>2023-04-17_VGS.AX</t>
        </is>
      </c>
      <c r="B59" t="inlineStr">
        <is>
          <t>VGS</t>
        </is>
      </c>
      <c r="C59" s="5" t="n">
        <v>45033</v>
      </c>
      <c r="D59" t="n">
        <v>1505</v>
      </c>
      <c r="F59" t="n">
        <v>0.228212</v>
      </c>
      <c r="G59" t="inlineStr">
        <is>
          <t>AUD</t>
        </is>
      </c>
      <c r="H59" t="n">
        <v>1.1</v>
      </c>
      <c r="I59" t="inlineStr">
        <is>
          <t>AUD</t>
        </is>
      </c>
    </row>
    <row r="60">
      <c r="A60" t="inlineStr">
        <is>
          <t>2023-04-17_A200.AX</t>
        </is>
      </c>
      <c r="B60" t="inlineStr">
        <is>
          <t>A200</t>
        </is>
      </c>
      <c r="C60" s="5" t="n">
        <v>45033</v>
      </c>
      <c r="D60" t="n">
        <v>613</v>
      </c>
      <c r="F60" t="n">
        <v>1.133724</v>
      </c>
      <c r="G60" t="inlineStr">
        <is>
          <t>AUD</t>
        </is>
      </c>
      <c r="H60" t="n">
        <v>1.21</v>
      </c>
      <c r="I60" t="inlineStr">
        <is>
          <t>AUD</t>
        </is>
      </c>
    </row>
    <row r="61">
      <c r="A61" t="inlineStr">
        <is>
          <t>2023-07-17_VGS.AX</t>
        </is>
      </c>
      <c r="B61" t="inlineStr">
        <is>
          <t>VGS</t>
        </is>
      </c>
      <c r="C61" s="5" t="n">
        <v>45124</v>
      </c>
      <c r="D61" t="n">
        <v>1552</v>
      </c>
      <c r="F61" t="n">
        <v>1.121456</v>
      </c>
      <c r="G61" t="inlineStr">
        <is>
          <t>AUD</t>
        </is>
      </c>
      <c r="H61" t="n">
        <v>5.58</v>
      </c>
      <c r="I61" t="inlineStr">
        <is>
          <t>AUD</t>
        </is>
      </c>
    </row>
    <row r="62">
      <c r="A62" t="inlineStr">
        <is>
          <t>2023-07-17_A200.AX</t>
        </is>
      </c>
      <c r="B62" t="inlineStr">
        <is>
          <t>A200</t>
        </is>
      </c>
      <c r="C62" s="5" t="n">
        <v>45124</v>
      </c>
      <c r="D62" t="n">
        <v>644</v>
      </c>
      <c r="F62" t="n">
        <v>0.81635</v>
      </c>
      <c r="G62" t="inlineStr">
        <is>
          <t>AUD</t>
        </is>
      </c>
      <c r="H62" t="n">
        <v>2.03</v>
      </c>
      <c r="I62" t="inlineStr">
        <is>
          <t>AUD</t>
        </is>
      </c>
    </row>
    <row r="63">
      <c r="A63" t="inlineStr">
        <is>
          <t>2023-10-16_VGS.AX</t>
        </is>
      </c>
      <c r="B63" t="inlineStr">
        <is>
          <t>VGS</t>
        </is>
      </c>
      <c r="C63" s="5" t="n">
        <v>45215</v>
      </c>
      <c r="D63" t="n">
        <v>1588</v>
      </c>
      <c r="F63" t="n">
        <v>0.686644</v>
      </c>
      <c r="G63" t="inlineStr">
        <is>
          <t>AUD</t>
        </is>
      </c>
      <c r="H63" t="n">
        <v>1.22</v>
      </c>
      <c r="I63" t="inlineStr">
        <is>
          <t>AUD</t>
        </is>
      </c>
    </row>
    <row r="64">
      <c r="A64" t="inlineStr">
        <is>
          <t>2023-10-16_A200.AX</t>
        </is>
      </c>
      <c r="B64" t="inlineStr">
        <is>
          <t>A200</t>
        </is>
      </c>
      <c r="C64" s="5" t="n">
        <v>45215</v>
      </c>
      <c r="D64" t="n">
        <v>671</v>
      </c>
      <c r="F64" t="n">
        <v>1.705417</v>
      </c>
      <c r="G64" t="inlineStr">
        <is>
          <t>AUD</t>
        </is>
      </c>
      <c r="H64" t="n">
        <v>2.5</v>
      </c>
      <c r="I64" t="inlineStr">
        <is>
          <t>AUD</t>
        </is>
      </c>
    </row>
    <row r="65">
      <c r="A65" t="inlineStr">
        <is>
          <t>2024-01-16_VGS.AX</t>
        </is>
      </c>
      <c r="B65" t="inlineStr">
        <is>
          <t>VGS</t>
        </is>
      </c>
      <c r="C65" s="5" t="n">
        <v>45307</v>
      </c>
      <c r="D65" t="n">
        <v>1631</v>
      </c>
      <c r="F65" t="n">
        <v>0.546335</v>
      </c>
      <c r="G65" t="inlineStr">
        <is>
          <t>AUD</t>
        </is>
      </c>
      <c r="H65" t="n">
        <v>2.92</v>
      </c>
      <c r="I65" t="inlineStr">
        <is>
          <t>AUD</t>
        </is>
      </c>
    </row>
    <row r="66">
      <c r="A66" t="inlineStr">
        <is>
          <t>2024-01-16_A200.AX</t>
        </is>
      </c>
      <c r="B66" t="inlineStr">
        <is>
          <t>A200</t>
        </is>
      </c>
      <c r="C66" s="5" t="n">
        <v>45307</v>
      </c>
      <c r="D66" t="n">
        <v>703</v>
      </c>
      <c r="F66" t="n">
        <v>1.030676</v>
      </c>
      <c r="G66" t="inlineStr">
        <is>
          <t>AUD</t>
        </is>
      </c>
      <c r="H66" t="n">
        <v>2.6</v>
      </c>
      <c r="I66" t="inlineStr">
        <is>
          <t>AUD</t>
        </is>
      </c>
    </row>
    <row r="67">
      <c r="A67" t="inlineStr">
        <is>
          <t>2024-04-16_VGS.AX</t>
        </is>
      </c>
      <c r="B67" t="inlineStr">
        <is>
          <t>VGS</t>
        </is>
      </c>
      <c r="C67" s="5" t="n">
        <v>45398</v>
      </c>
      <c r="D67" t="n">
        <v>1669</v>
      </c>
      <c r="F67" t="n">
        <v>0.9812</v>
      </c>
      <c r="G67" t="inlineStr">
        <is>
          <t>AUD</t>
        </is>
      </c>
      <c r="H67" t="n">
        <v>6.31</v>
      </c>
      <c r="I67" t="inlineStr">
        <is>
          <t>AUD</t>
        </is>
      </c>
    </row>
    <row r="68">
      <c r="A68" t="inlineStr">
        <is>
          <t>2024-04-16_A200.AX</t>
        </is>
      </c>
      <c r="B68" t="inlineStr">
        <is>
          <t>A200</t>
        </is>
      </c>
      <c r="C68" s="5" t="n">
        <v>45398</v>
      </c>
      <c r="D68" t="n">
        <v>731</v>
      </c>
      <c r="F68" t="n">
        <v>1.095719</v>
      </c>
      <c r="G68" t="inlineStr">
        <is>
          <t>AUD</t>
        </is>
      </c>
      <c r="H68" t="n">
        <v>0.86</v>
      </c>
      <c r="I68" t="inlineStr">
        <is>
          <t>AUD</t>
        </is>
      </c>
    </row>
    <row r="69">
      <c r="A69" t="inlineStr">
        <is>
          <t>2024-07-15_VGS.AX</t>
        </is>
      </c>
      <c r="B69" t="inlineStr">
        <is>
          <t>VGS</t>
        </is>
      </c>
      <c r="C69" s="5" t="n">
        <v>45488</v>
      </c>
      <c r="D69" t="n">
        <v>1694</v>
      </c>
      <c r="F69" t="n">
        <v>2.206526</v>
      </c>
      <c r="G69" t="inlineStr">
        <is>
          <t>AUD</t>
        </is>
      </c>
      <c r="H69" t="n">
        <v>1.91</v>
      </c>
      <c r="I69" t="inlineStr">
        <is>
          <t>AUD</t>
        </is>
      </c>
    </row>
    <row r="70">
      <c r="A70" t="inlineStr">
        <is>
          <t>2024-07-15_A200.AX</t>
        </is>
      </c>
      <c r="B70" t="inlineStr">
        <is>
          <t>A200</t>
        </is>
      </c>
      <c r="C70" s="5" t="n">
        <v>45488</v>
      </c>
      <c r="D70" t="n">
        <v>749</v>
      </c>
      <c r="F70" t="n">
        <v>0.910076</v>
      </c>
      <c r="G70" t="inlineStr">
        <is>
          <t>AUD</t>
        </is>
      </c>
      <c r="H70" t="n">
        <v>1.09</v>
      </c>
      <c r="I70" t="inlineStr">
        <is>
          <t>AUD</t>
        </is>
      </c>
    </row>
    <row r="71">
      <c r="A71" t="inlineStr">
        <is>
          <t>2024-10-15_VGS.AX</t>
        </is>
      </c>
      <c r="B71" t="inlineStr">
        <is>
          <t>VGS</t>
        </is>
      </c>
      <c r="C71" s="5" t="n">
        <v>45580</v>
      </c>
      <c r="D71" t="n">
        <v>1722</v>
      </c>
      <c r="F71" t="n">
        <v>0.281353</v>
      </c>
      <c r="G71" t="inlineStr">
        <is>
          <t>AUD</t>
        </is>
      </c>
      <c r="H71" t="n">
        <v>1.34</v>
      </c>
      <c r="I71" t="inlineStr">
        <is>
          <t>AUD</t>
        </is>
      </c>
    </row>
    <row r="72">
      <c r="A72" t="inlineStr">
        <is>
          <t>2024-10-15_A200.AX</t>
        </is>
      </c>
      <c r="B72" t="inlineStr">
        <is>
          <t>A200</t>
        </is>
      </c>
      <c r="C72" s="5" t="n">
        <v>45580</v>
      </c>
      <c r="D72" t="n">
        <v>771</v>
      </c>
      <c r="F72" t="n">
        <v>1.255944</v>
      </c>
      <c r="G72" t="inlineStr">
        <is>
          <t>AUD</t>
        </is>
      </c>
      <c r="H72" t="n">
        <v>1.78</v>
      </c>
      <c r="I72" t="inlineStr">
        <is>
          <t>AUD</t>
        </is>
      </c>
    </row>
    <row r="73">
      <c r="A73" t="inlineStr">
        <is>
          <t>2025-01-16_VGS.AX</t>
        </is>
      </c>
      <c r="B73" t="inlineStr">
        <is>
          <t>VGS</t>
        </is>
      </c>
      <c r="C73" s="5" t="n">
        <v>45673</v>
      </c>
      <c r="D73" t="n">
        <v>1752</v>
      </c>
      <c r="F73" t="n">
        <v>0.727587</v>
      </c>
      <c r="G73" t="inlineStr">
        <is>
          <t>AUD</t>
        </is>
      </c>
      <c r="H73" t="n">
        <v>3.47</v>
      </c>
      <c r="I73" t="inlineStr">
        <is>
          <t>AUD</t>
        </is>
      </c>
    </row>
    <row r="74">
      <c r="A74" t="inlineStr">
        <is>
          <t>2025-01-16_A200.AX</t>
        </is>
      </c>
      <c r="B74" t="inlineStr">
        <is>
          <t>A200</t>
        </is>
      </c>
      <c r="C74" s="5" t="n">
        <v>45673</v>
      </c>
      <c r="D74" t="n">
        <v>794</v>
      </c>
      <c r="F74" t="n">
        <v>1.362294</v>
      </c>
      <c r="G74" t="inlineStr">
        <is>
          <t>AUD</t>
        </is>
      </c>
      <c r="H74" t="n">
        <v>1.53</v>
      </c>
      <c r="I74" t="inlineStr">
        <is>
          <t>AUD</t>
        </is>
      </c>
    </row>
    <row r="75">
      <c r="A75" t="inlineStr">
        <is>
          <t>2025-04-15_VGS.AX</t>
        </is>
      </c>
      <c r="B75" t="inlineStr">
        <is>
          <t>VGS</t>
        </is>
      </c>
      <c r="C75" s="5" t="n">
        <v>45762</v>
      </c>
      <c r="D75" t="n">
        <v>1773</v>
      </c>
      <c r="F75" t="n">
        <v>1.462689</v>
      </c>
      <c r="G75" t="inlineStr">
        <is>
          <t>AUD</t>
        </is>
      </c>
      <c r="H75" t="n">
        <v>6.46</v>
      </c>
      <c r="I75" t="inlineStr">
        <is>
          <t>AUD</t>
        </is>
      </c>
    </row>
    <row r="76">
      <c r="A76" t="inlineStr">
        <is>
          <t>2025-04-15_A200.AX</t>
        </is>
      </c>
      <c r="B76" t="inlineStr">
        <is>
          <t>A200</t>
        </is>
      </c>
      <c r="C76" s="5" t="n">
        <v>45762</v>
      </c>
      <c r="D76" t="n">
        <v>811</v>
      </c>
      <c r="F76" t="n">
        <v>0.909415</v>
      </c>
      <c r="G76" t="inlineStr">
        <is>
          <t>AUD</t>
        </is>
      </c>
      <c r="H76" t="n">
        <v>0.32</v>
      </c>
      <c r="I76" t="inlineStr">
        <is>
          <t>AUD</t>
        </is>
      </c>
    </row>
    <row r="77">
      <c r="A77" t="inlineStr">
        <is>
          <t>2025-07-15_VGS.AX</t>
        </is>
      </c>
      <c r="B77" t="inlineStr">
        <is>
          <t>VGS</t>
        </is>
      </c>
      <c r="C77" s="5" t="n">
        <v>45853</v>
      </c>
      <c r="D77" t="n">
        <v>1802</v>
      </c>
      <c r="F77" t="n">
        <v>1.310342</v>
      </c>
      <c r="G77" t="inlineStr">
        <is>
          <t>AUD</t>
        </is>
      </c>
      <c r="H77" t="n">
        <v>9.039999999999999</v>
      </c>
      <c r="I77" t="inlineStr">
        <is>
          <t>AUD</t>
        </is>
      </c>
    </row>
    <row r="78">
      <c r="A78" t="inlineStr">
        <is>
          <t>2025-07-15_A200.AX</t>
        </is>
      </c>
      <c r="B78" t="inlineStr">
        <is>
          <t>A200</t>
        </is>
      </c>
      <c r="C78" s="5" t="n">
        <v>45853</v>
      </c>
      <c r="D78" t="n">
        <v>833</v>
      </c>
      <c r="F78" t="n">
        <v>1.052786</v>
      </c>
      <c r="G78" t="inlineStr">
        <is>
          <t>AUD</t>
        </is>
      </c>
      <c r="H78" t="n">
        <v>0.78</v>
      </c>
      <c r="I78" t="inlineStr">
        <is>
          <t>AUD</t>
        </is>
      </c>
    </row>
    <row r="79">
      <c r="A79" t="inlineStr">
        <is>
          <t>2025-10-15_VGS.AX</t>
        </is>
      </c>
      <c r="B79" t="inlineStr">
        <is>
          <t>VGS</t>
        </is>
      </c>
      <c r="C79" s="5" t="n">
        <v>45945</v>
      </c>
      <c r="D79" t="n">
        <v>1822</v>
      </c>
      <c r="F79" t="n">
        <v>0.364894</v>
      </c>
      <c r="G79" t="inlineStr">
        <is>
          <t>AUD</t>
        </is>
      </c>
      <c r="H79" t="n">
        <v>1.37</v>
      </c>
      <c r="I79" t="inlineStr">
        <is>
          <t>AUD</t>
        </is>
      </c>
    </row>
    <row r="80">
      <c r="A80" t="inlineStr">
        <is>
          <t>2025-10-15_A200.AX</t>
        </is>
      </c>
      <c r="B80" t="inlineStr">
        <is>
          <t>A200</t>
        </is>
      </c>
      <c r="C80" s="5" t="n">
        <v>45945</v>
      </c>
      <c r="D80" t="n">
        <v>849</v>
      </c>
      <c r="F80" t="n">
        <v>1.505534</v>
      </c>
      <c r="G80" t="inlineStr">
        <is>
          <t>AUD</t>
        </is>
      </c>
      <c r="H80" t="n">
        <v>1.93</v>
      </c>
      <c r="I80" t="inlineStr">
        <is>
          <t>AUD</t>
        </is>
      </c>
    </row>
    <row r="81">
      <c r="A81" t="inlineStr">
        <is>
          <t>2026-01-16_VGS.AX</t>
        </is>
      </c>
      <c r="B81" t="inlineStr">
        <is>
          <t>VGS</t>
        </is>
      </c>
      <c r="C81" s="5" t="n">
        <v>46038</v>
      </c>
      <c r="D81" t="n">
        <v>1852</v>
      </c>
      <c r="F81" t="n">
        <v>0.484595</v>
      </c>
      <c r="G81" t="inlineStr">
        <is>
          <t>AUD</t>
        </is>
      </c>
      <c r="H81" t="n">
        <v>0.33</v>
      </c>
      <c r="I81" t="inlineStr">
        <is>
          <t>AUD</t>
        </is>
      </c>
    </row>
    <row r="82">
      <c r="A82" t="inlineStr">
        <is>
          <t>2026-01-16_A200.AX</t>
        </is>
      </c>
      <c r="B82" t="inlineStr">
        <is>
          <t>A200</t>
        </is>
      </c>
      <c r="C82" s="5" t="n">
        <v>46038</v>
      </c>
      <c r="D82" t="n">
        <v>875</v>
      </c>
      <c r="F82" t="n">
        <v>1.162844</v>
      </c>
      <c r="G82" t="inlineStr">
        <is>
          <t>AUD</t>
        </is>
      </c>
      <c r="H82" t="n">
        <v>0.2</v>
      </c>
      <c r="I82" t="inlineStr">
        <is>
          <t>AUD</t>
        </is>
      </c>
    </row>
    <row r="83">
      <c r="A83" t="inlineStr">
        <is>
          <t>2026-04-15_VGS.AX</t>
        </is>
      </c>
      <c r="B83" t="inlineStr">
        <is>
          <t>VGS</t>
        </is>
      </c>
      <c r="C83" s="5" t="n">
        <v>46127</v>
      </c>
      <c r="D83" t="n">
        <v>1883</v>
      </c>
      <c r="F83" t="n">
        <v>0.398397</v>
      </c>
      <c r="G83" t="inlineStr">
        <is>
          <t>AUD</t>
        </is>
      </c>
      <c r="H83" t="n">
        <v>1.22</v>
      </c>
      <c r="I83" t="inlineStr">
        <is>
          <t>AUD</t>
        </is>
      </c>
    </row>
    <row r="84">
      <c r="A84" t="inlineStr">
        <is>
          <t>2026-04-15_A200.AX</t>
        </is>
      </c>
      <c r="B84" t="inlineStr">
        <is>
          <t>A200</t>
        </is>
      </c>
      <c r="C84" s="5" t="n">
        <v>46127</v>
      </c>
      <c r="D84" t="n">
        <v>900</v>
      </c>
      <c r="F84" t="n">
        <v>1.210187</v>
      </c>
      <c r="G84" t="inlineStr">
        <is>
          <t>AUD</t>
        </is>
      </c>
      <c r="H84" t="n">
        <v>2.44</v>
      </c>
      <c r="I84" t="inlineStr">
        <is>
          <t>AUD</t>
        </is>
      </c>
    </row>
    <row r="85">
      <c r="A85" t="inlineStr">
        <is>
          <t>2026-07-15_VGS.AX</t>
        </is>
      </c>
      <c r="B85" t="inlineStr">
        <is>
          <t>VGS</t>
        </is>
      </c>
      <c r="C85" s="5" t="n">
        <v>46218</v>
      </c>
      <c r="D85" t="n">
        <v>1911</v>
      </c>
      <c r="F85" t="n">
        <v>0.81904</v>
      </c>
      <c r="G85" t="inlineStr">
        <is>
          <t>AUD</t>
        </is>
      </c>
      <c r="H85" t="n">
        <v>0.91</v>
      </c>
      <c r="I85" t="inlineStr">
        <is>
          <t>AUD</t>
        </is>
      </c>
    </row>
    <row r="86">
      <c r="A86" t="inlineStr">
        <is>
          <t>2026-07-15_A200.AX</t>
        </is>
      </c>
      <c r="B86" t="inlineStr">
        <is>
          <t>A200</t>
        </is>
      </c>
      <c r="C86" s="5" t="n">
        <v>46218</v>
      </c>
      <c r="D86" t="n">
        <v>923</v>
      </c>
      <c r="F86" t="n">
        <v>0.996897</v>
      </c>
      <c r="G86" t="inlineStr">
        <is>
          <t>AUD</t>
        </is>
      </c>
      <c r="H86" t="n">
        <v>3.56</v>
      </c>
      <c r="I86" t="inlineStr">
        <is>
          <t>AUD</t>
        </is>
      </c>
    </row>
  </sheetData>
  <dataValidations count="2">
    <dataValidation sqref="G2:G586" showDropDown="0" showInputMessage="0" showErrorMessage="1" allowBlank="1" errorTitle="Not an allowed value" error="Pick a value for distribution_amount_per_share_currency from the list." type="list">
      <formula1>'ValueAssistance'!$B$2:$B$308</formula1>
    </dataValidation>
    <dataValidation sqref="I2:I586" showDropDown="0" showInputMessage="0" showErrorMessage="1" allowBlank="1" errorTitle="Not an allowed value" error="Pick a value for total_withholding_tax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1.2" customWidth="1" min="1" max="1"/>
    <col width="32.2" customWidth="1" min="2" max="2"/>
    <col width="10.2" customWidth="1" min="3" max="3"/>
    <col width="12.2" customWidth="1" min="4" max="4"/>
    <col width="10.2" customWidth="1" min="5" max="5"/>
    <col width="18.2" customWidth="1" min="6" max="6"/>
    <col width="63.2" customWidth="1" min="7" max="7"/>
  </cols>
  <sheetData>
    <row r="1" ht="32" customHeight="1">
      <c r="A1" s="1" t="inlineStr">
        <is>
          <t>legacy_id</t>
        </is>
      </c>
      <c r="B1" s="1" t="inlineStr">
        <is>
          <t>description</t>
        </is>
      </c>
      <c r="C1" s="1" t="inlineStr">
        <is>
          <t>status</t>
        </is>
      </c>
      <c r="D1" s="1" t="inlineStr">
        <is>
          <t>start_date</t>
        </is>
      </c>
      <c r="E1" s="1" t="inlineStr">
        <is>
          <t>end_date</t>
        </is>
      </c>
      <c r="F1" s="1" t="inlineStr">
        <is>
          <t>i1_election_made</t>
        </is>
      </c>
      <c r="G1" s="1" t="inlineStr">
        <is>
          <t>notes</t>
        </is>
      </c>
    </row>
    <row r="2">
      <c r="A2" t="inlineStr">
        <is>
          <t>R001</t>
        </is>
      </c>
      <c r="B2" t="inlineStr">
        <is>
          <t>Australian resident throughout</t>
        </is>
      </c>
      <c r="C2" t="inlineStr">
        <is>
          <t>RESIDENT</t>
        </is>
      </c>
      <c r="D2" s="5" t="n">
        <v>42644</v>
      </c>
      <c r="G2" t="inlineStr">
        <is>
          <t>FAKE DATA - generated for demonstration, not a real portfolio</t>
        </is>
      </c>
    </row>
  </sheetData>
  <dataValidations count="2">
    <dataValidation sqref="C2:C502" showDropDown="0" showInputMessage="0" showErrorMessage="1" allowBlank="1" errorTitle="Not an allowed value" error="Pick a value for status from the list." type="list">
      <formula1>'ValueAssistance'!$H$2:$H$4</formula1>
    </dataValidation>
    <dataValidation sqref="F2:F502" showDropDown="0" showInputMessage="0" showErrorMessage="1" allowBlank="1" errorTitle="Not an allowed value" error="Pick a value for i1_election_made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A6A6A6"/>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8.2" customWidth="1" min="3" max="3"/>
    <col width="16.2" customWidth="1" min="4" max="4"/>
    <col width="12.2" customWidth="1" min="5" max="5"/>
    <col width="21.2" customWidth="1" min="6" max="6"/>
    <col width="9.199999999999999" customWidth="1" min="7" max="7"/>
    <col width="8.199999999999999" customWidth="1" min="8" max="8"/>
    <col width="7.2" customWidth="1" min="9" max="9"/>
  </cols>
  <sheetData>
    <row r="1" ht="32" customHeight="1">
      <c r="A1" s="1" t="inlineStr">
        <is>
          <t>legacy_id</t>
        </is>
      </c>
      <c r="B1" s="1" t="inlineStr">
        <is>
          <t>description</t>
        </is>
      </c>
      <c r="C1" s="1" t="inlineStr">
        <is>
          <t>instrument__name</t>
        </is>
      </c>
      <c r="D1" s="1" t="inlineStr">
        <is>
          <t>valuation_date</t>
        </is>
      </c>
      <c r="E1" s="1" t="inlineStr">
        <is>
          <t>unit_value</t>
        </is>
      </c>
      <c r="F1" s="1" t="inlineStr">
        <is>
          <t>unit_value_currency</t>
        </is>
      </c>
      <c r="G1" s="1" t="inlineStr">
        <is>
          <t>purpose</t>
        </is>
      </c>
      <c r="H1" s="1" t="inlineStr">
        <is>
          <t>source</t>
        </is>
      </c>
      <c r="I1" s="1" t="inlineStr">
        <is>
          <t>notes</t>
        </is>
      </c>
    </row>
  </sheetData>
  <dataValidations count="3">
    <dataValidation sqref="F2:F502" showDropDown="0" showInputMessage="0" showErrorMessage="1" allowBlank="1" errorTitle="Not an allowed value" error="Pick a value for unit_value_currency from the list." type="list">
      <formula1>'ValueAssistance'!$B$2:$B$308</formula1>
    </dataValidation>
    <dataValidation sqref="G2:G502" showDropDown="0" showInputMessage="0" showErrorMessage="1" allowBlank="1" errorTitle="Not an allowed value" error="Pick a value for purpose from the list." type="list">
      <formula1>'ValueAssistance'!$I$2:$I$6</formula1>
    </dataValidation>
    <dataValidation sqref="H2:H502" showDropDown="0" showInputMessage="0" showErrorMessage="1" allowBlank="1" errorTitle="Not an allowed value" error="Pick a value for source from the list." type="list">
      <formula1>'ValueAssistance'!$J$2:$J$5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25.2" customWidth="1" min="3" max="3"/>
    <col width="8.199999999999999" customWidth="1" min="4" max="4"/>
    <col width="17.2" customWidth="1" min="5" max="5"/>
    <col width="20.2" customWidth="1" min="6" max="6"/>
    <col width="7.2" customWidth="1" min="7" max="7"/>
  </cols>
  <sheetData>
    <row r="1" ht="32" customHeight="1">
      <c r="A1" s="1" t="inlineStr">
        <is>
          <t>legacy_id</t>
        </is>
      </c>
      <c r="B1" s="1" t="inlineStr">
        <is>
          <t>description</t>
        </is>
      </c>
      <c r="C1" s="1" t="inlineStr">
        <is>
          <t>financial_year_end_date</t>
        </is>
      </c>
      <c r="D1" s="1" t="inlineStr">
        <is>
          <t>amount</t>
        </is>
      </c>
      <c r="E1" s="1" t="inlineStr">
        <is>
          <t>amount_currency</t>
        </is>
      </c>
      <c r="F1" s="1" t="inlineStr">
        <is>
          <t>is_opening_balance</t>
        </is>
      </c>
      <c r="G1" s="1" t="inlineStr">
        <is>
          <t>notes</t>
        </is>
      </c>
    </row>
  </sheetData>
  <dataValidations count="2">
    <dataValidation sqref="E2:E502" showDropDown="0" showInputMessage="0" showErrorMessage="1" allowBlank="1" errorTitle="Not an allowed value" error="Pick a value for amount_currency from the list." type="list">
      <formula1>'ValueAssistance'!$B$2:$B$308</formula1>
    </dataValidation>
    <dataValidation sqref="F2:F502" showDropDown="0" showInputMessage="0" showErrorMessage="1" allowBlank="1" errorTitle="Not an allowed value" error="Pick a value for is_opening_balance from the list." type="list">
      <formula1>'ValueAssistance'!$A$2:$A$3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A6A6A6"/>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8.2" customWidth="1" min="3" max="3"/>
    <col width="25.2" customWidth="1" min="4" max="4"/>
    <col width="6.2" customWidth="1" min="5" max="5"/>
    <col width="26.2" customWidth="1" min="6" max="6"/>
    <col width="63.2" customWidth="1" min="7" max="7"/>
  </cols>
  <sheetData>
    <row r="1" ht="32" customHeight="1">
      <c r="A1" s="1" t="inlineStr">
        <is>
          <t>legacy_id</t>
        </is>
      </c>
      <c r="B1" s="1" t="inlineStr">
        <is>
          <t>description</t>
        </is>
      </c>
      <c r="C1" s="1" t="inlineStr">
        <is>
          <t>instrument__name</t>
        </is>
      </c>
      <c r="D1" s="1" t="inlineStr">
        <is>
          <t>financial_year_end_date</t>
        </is>
      </c>
      <c r="E1" s="1" t="inlineStr">
        <is>
          <t>file</t>
        </is>
      </c>
      <c r="F1" s="1" t="inlineStr">
        <is>
          <t>lookup_legacy_adjustment</t>
        </is>
      </c>
      <c r="G1" s="1" t="inlineStr">
        <is>
          <t>notes</t>
        </is>
      </c>
    </row>
    <row r="2">
      <c r="A2" t="inlineStr">
        <is>
          <t>AS001</t>
        </is>
      </c>
      <c r="C2" t="inlineStr">
        <is>
          <t>VAS</t>
        </is>
      </c>
      <c r="D2" s="5" t="n">
        <v>42916</v>
      </c>
      <c r="F2" t="inlineStr">
        <is>
          <t>A001</t>
        </is>
      </c>
      <c r="G2" t="inlineStr">
        <is>
          <t>FAKE DATA - generated for demonstration, not a real portfolio</t>
        </is>
      </c>
    </row>
    <row r="3">
      <c r="A3" t="inlineStr">
        <is>
          <t>AS002</t>
        </is>
      </c>
      <c r="C3" t="inlineStr">
        <is>
          <t>VGS</t>
        </is>
      </c>
      <c r="D3" s="5" t="n">
        <v>42916</v>
      </c>
      <c r="F3" t="inlineStr">
        <is>
          <t>A002</t>
        </is>
      </c>
    </row>
    <row r="4">
      <c r="A4" t="inlineStr">
        <is>
          <t>AS003</t>
        </is>
      </c>
      <c r="C4" t="inlineStr">
        <is>
          <t>VAS</t>
        </is>
      </c>
      <c r="D4" s="5" t="n">
        <v>43281</v>
      </c>
      <c r="F4" t="inlineStr">
        <is>
          <t>A003</t>
        </is>
      </c>
    </row>
    <row r="5">
      <c r="A5" t="inlineStr">
        <is>
          <t>AS004</t>
        </is>
      </c>
      <c r="C5" t="inlineStr">
        <is>
          <t>VGS</t>
        </is>
      </c>
      <c r="D5" s="5" t="n">
        <v>43281</v>
      </c>
      <c r="F5" t="inlineStr">
        <is>
          <t>A004</t>
        </is>
      </c>
    </row>
    <row r="6">
      <c r="A6" t="inlineStr">
        <is>
          <t>AS005</t>
        </is>
      </c>
      <c r="C6" t="inlineStr">
        <is>
          <t>A200</t>
        </is>
      </c>
      <c r="D6" s="5" t="n">
        <v>43646</v>
      </c>
      <c r="F6" t="inlineStr">
        <is>
          <t>A005</t>
        </is>
      </c>
    </row>
    <row r="7">
      <c r="A7" t="inlineStr">
        <is>
          <t>AS006</t>
        </is>
      </c>
      <c r="C7" t="inlineStr">
        <is>
          <t>VAS</t>
        </is>
      </c>
      <c r="D7" s="5" t="n">
        <v>43646</v>
      </c>
      <c r="F7" t="inlineStr">
        <is>
          <t>A006</t>
        </is>
      </c>
    </row>
    <row r="8">
      <c r="A8" t="inlineStr">
        <is>
          <t>AS007</t>
        </is>
      </c>
      <c r="C8" t="inlineStr">
        <is>
          <t>VGS</t>
        </is>
      </c>
      <c r="D8" s="5" t="n">
        <v>43646</v>
      </c>
      <c r="F8" t="inlineStr">
        <is>
          <t>A007</t>
        </is>
      </c>
    </row>
    <row r="9">
      <c r="A9" t="inlineStr">
        <is>
          <t>AS008</t>
        </is>
      </c>
      <c r="C9" t="inlineStr">
        <is>
          <t>A200</t>
        </is>
      </c>
      <c r="D9" s="5" t="n">
        <v>44012</v>
      </c>
      <c r="F9" t="inlineStr">
        <is>
          <t>A008</t>
        </is>
      </c>
    </row>
    <row r="10">
      <c r="A10" t="inlineStr">
        <is>
          <t>AS009</t>
        </is>
      </c>
      <c r="C10" t="inlineStr">
        <is>
          <t>VAS</t>
        </is>
      </c>
      <c r="D10" s="5" t="n">
        <v>44012</v>
      </c>
    </row>
    <row r="11">
      <c r="A11" t="inlineStr">
        <is>
          <t>AS010</t>
        </is>
      </c>
      <c r="C11" t="inlineStr">
        <is>
          <t>VGS</t>
        </is>
      </c>
      <c r="D11" s="5" t="n">
        <v>44012</v>
      </c>
      <c r="F11" t="inlineStr">
        <is>
          <t>A009</t>
        </is>
      </c>
    </row>
    <row r="12">
      <c r="A12" t="inlineStr">
        <is>
          <t>AS011</t>
        </is>
      </c>
      <c r="C12" t="inlineStr">
        <is>
          <t>A200</t>
        </is>
      </c>
      <c r="D12" s="5" t="n">
        <v>44377</v>
      </c>
      <c r="F12" t="inlineStr">
        <is>
          <t>A010</t>
        </is>
      </c>
    </row>
    <row r="13">
      <c r="A13" t="inlineStr">
        <is>
          <t>AS012</t>
        </is>
      </c>
      <c r="C13" t="inlineStr">
        <is>
          <t>VGS</t>
        </is>
      </c>
      <c r="D13" s="5" t="n">
        <v>44377</v>
      </c>
      <c r="F13" t="inlineStr">
        <is>
          <t>A011</t>
        </is>
      </c>
    </row>
    <row r="14">
      <c r="A14" t="inlineStr">
        <is>
          <t>AS013</t>
        </is>
      </c>
      <c r="C14" t="inlineStr">
        <is>
          <t>A200</t>
        </is>
      </c>
      <c r="D14" s="5" t="n">
        <v>44742</v>
      </c>
      <c r="F14" t="inlineStr">
        <is>
          <t>A012</t>
        </is>
      </c>
    </row>
    <row r="15">
      <c r="A15" t="inlineStr">
        <is>
          <t>AS014</t>
        </is>
      </c>
      <c r="C15" t="inlineStr">
        <is>
          <t>VGS</t>
        </is>
      </c>
      <c r="D15" s="5" t="n">
        <v>44742</v>
      </c>
      <c r="F15" t="inlineStr">
        <is>
          <t>A013</t>
        </is>
      </c>
    </row>
    <row r="16">
      <c r="A16" t="inlineStr">
        <is>
          <t>AS015</t>
        </is>
      </c>
      <c r="C16" t="inlineStr">
        <is>
          <t>A200</t>
        </is>
      </c>
      <c r="D16" s="5" t="n">
        <v>45107</v>
      </c>
      <c r="F16" t="inlineStr">
        <is>
          <t>A014</t>
        </is>
      </c>
    </row>
    <row r="17">
      <c r="A17" t="inlineStr">
        <is>
          <t>AS016</t>
        </is>
      </c>
      <c r="C17" t="inlineStr">
        <is>
          <t>VGS</t>
        </is>
      </c>
      <c r="D17" s="5" t="n">
        <v>45107</v>
      </c>
      <c r="F17" t="inlineStr">
        <is>
          <t>A015</t>
        </is>
      </c>
    </row>
    <row r="18">
      <c r="A18" t="inlineStr">
        <is>
          <t>AS017</t>
        </is>
      </c>
      <c r="C18" t="inlineStr">
        <is>
          <t>A200</t>
        </is>
      </c>
      <c r="D18" s="5" t="n">
        <v>45473</v>
      </c>
      <c r="F18" t="inlineStr">
        <is>
          <t>A016</t>
        </is>
      </c>
    </row>
    <row r="19">
      <c r="A19" t="inlineStr">
        <is>
          <t>AS018</t>
        </is>
      </c>
      <c r="C19" t="inlineStr">
        <is>
          <t>VGS</t>
        </is>
      </c>
      <c r="D19" s="5" t="n">
        <v>45473</v>
      </c>
      <c r="F19" t="inlineStr">
        <is>
          <t>A017</t>
        </is>
      </c>
    </row>
    <row r="20">
      <c r="A20" t="inlineStr">
        <is>
          <t>AS019</t>
        </is>
      </c>
      <c r="C20" t="inlineStr">
        <is>
          <t>A200</t>
        </is>
      </c>
      <c r="D20" s="5" t="n">
        <v>45838</v>
      </c>
      <c r="F20" t="inlineStr">
        <is>
          <t>A018</t>
        </is>
      </c>
    </row>
    <row r="21">
      <c r="A21" t="inlineStr">
        <is>
          <t>AS020</t>
        </is>
      </c>
      <c r="C21" t="inlineStr">
        <is>
          <t>VGS</t>
        </is>
      </c>
      <c r="D21" s="5" t="n">
        <v>45838</v>
      </c>
      <c r="F21" t="inlineStr">
        <is>
          <t>A019</t>
        </is>
      </c>
    </row>
    <row r="22">
      <c r="A22" t="inlineStr">
        <is>
          <t>AS021</t>
        </is>
      </c>
      <c r="C22" t="inlineStr">
        <is>
          <t>A200</t>
        </is>
      </c>
      <c r="D22" s="5" t="n">
        <v>46203</v>
      </c>
      <c r="F22" t="inlineStr">
        <is>
          <t>A020</t>
        </is>
      </c>
    </row>
    <row r="23">
      <c r="A23" t="inlineStr">
        <is>
          <t>AS022</t>
        </is>
      </c>
      <c r="C23" t="inlineStr">
        <is>
          <t>VGS</t>
        </is>
      </c>
      <c r="D23" s="5" t="n">
        <v>46203</v>
      </c>
      <c r="F23" t="inlineStr">
        <is>
          <t>A021</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A6A6A6"/>
    <outlinePr summaryBelow="1" summaryRight="1"/>
    <pageSetUpPr/>
  </sheetPr>
  <dimension ref="A1:G231"/>
  <sheetViews>
    <sheetView workbookViewId="0">
      <pane ySplit="1" topLeftCell="A2" activePane="bottomLeft" state="frozen"/>
      <selection pane="bottomLeft" activeCell="A1" sqref="A1"/>
    </sheetView>
  </sheetViews>
  <sheetFormatPr baseColWidth="8" defaultRowHeight="15"/>
  <cols>
    <col width="33.2" customWidth="1" min="1" max="1"/>
    <col width="13.2" customWidth="1" min="2" max="2"/>
    <col width="27.2" customWidth="1" min="3" max="3"/>
    <col width="9.199999999999999" customWidth="1" min="4" max="4"/>
    <col width="17.2" customWidth="1" min="5" max="5"/>
    <col width="25.2" customWidth="1" min="6" max="6"/>
    <col width="63.2" customWidth="1" min="7" max="7"/>
  </cols>
  <sheetData>
    <row r="1" ht="32" customHeight="1">
      <c r="A1" s="1" t="inlineStr">
        <is>
          <t>legacy_id</t>
        </is>
      </c>
      <c r="B1" s="1" t="inlineStr">
        <is>
          <t>description</t>
        </is>
      </c>
      <c r="C1" s="1" t="inlineStr">
        <is>
          <t>component</t>
        </is>
      </c>
      <c r="D1" s="1" t="inlineStr">
        <is>
          <t>amount</t>
        </is>
      </c>
      <c r="E1" s="1" t="inlineStr">
        <is>
          <t>amount_currency</t>
        </is>
      </c>
      <c r="F1" s="1" t="inlineStr">
        <is>
          <t>lookup_legacy_statement</t>
        </is>
      </c>
      <c r="G1" s="1" t="inlineStr">
        <is>
          <t>notes</t>
        </is>
      </c>
    </row>
    <row r="2">
      <c r="A2" t="inlineStr">
        <is>
          <t>AS001-DISCOUNTED_NTAP</t>
        </is>
      </c>
      <c r="C2" t="inlineStr">
        <is>
          <t>DISCOUNTED_NTAP</t>
        </is>
      </c>
      <c r="D2" t="n">
        <v>4.45</v>
      </c>
      <c r="E2" t="inlineStr">
        <is>
          <t>AUD</t>
        </is>
      </c>
      <c r="F2" t="inlineStr">
        <is>
          <t>AS001</t>
        </is>
      </c>
      <c r="G2" t="inlineStr">
        <is>
          <t>FAKE DATA - generated for demonstration, not a real portfolio</t>
        </is>
      </c>
    </row>
    <row r="3">
      <c r="A3" t="inlineStr">
        <is>
          <t>AS001-OTHER_NTAP</t>
        </is>
      </c>
      <c r="C3" t="inlineStr">
        <is>
          <t>OTHER_NTAP</t>
        </is>
      </c>
      <c r="D3" t="n">
        <v>2.14</v>
      </c>
      <c r="E3" t="inlineStr">
        <is>
          <t>AUD</t>
        </is>
      </c>
      <c r="F3" t="inlineStr">
        <is>
          <t>AS001</t>
        </is>
      </c>
    </row>
    <row r="4">
      <c r="A4" t="inlineStr">
        <is>
          <t>AS001-AMIT_GROSS_UP</t>
        </is>
      </c>
      <c r="C4" t="inlineStr">
        <is>
          <t>AMIT_GROSS_UP</t>
        </is>
      </c>
      <c r="D4" t="n">
        <v>4.45</v>
      </c>
      <c r="E4" t="inlineStr">
        <is>
          <t>AUD</t>
        </is>
      </c>
      <c r="F4" t="inlineStr">
        <is>
          <t>AS001</t>
        </is>
      </c>
    </row>
    <row r="5">
      <c r="A5" t="inlineStr">
        <is>
          <t>AS001-TOTAL_CY_CG</t>
        </is>
      </c>
      <c r="C5" t="inlineStr">
        <is>
          <t>TOTAL_CY_CG</t>
        </is>
      </c>
      <c r="D5" t="n">
        <v>11.04</v>
      </c>
      <c r="E5" t="inlineStr">
        <is>
          <t>AUD</t>
        </is>
      </c>
      <c r="F5" t="inlineStr">
        <is>
          <t>AS001</t>
        </is>
      </c>
    </row>
    <row r="6">
      <c r="A6" t="inlineStr">
        <is>
          <t>AS001-FRANKED_DISTRIBUTION</t>
        </is>
      </c>
      <c r="C6" t="inlineStr">
        <is>
          <t>FRANKED_DISTRIBUTION</t>
        </is>
      </c>
      <c r="D6" t="n">
        <v>136.77</v>
      </c>
      <c r="E6" t="inlineStr">
        <is>
          <t>AUD</t>
        </is>
      </c>
      <c r="F6" t="inlineStr">
        <is>
          <t>AS001</t>
        </is>
      </c>
    </row>
    <row r="7">
      <c r="A7" t="inlineStr">
        <is>
          <t>AS001-UNFRANKED_DISTRIBUTION</t>
        </is>
      </c>
      <c r="C7" t="inlineStr">
        <is>
          <t>UNFRANKED_DISTRIBUTION</t>
        </is>
      </c>
      <c r="D7" t="n">
        <v>22.8</v>
      </c>
      <c r="E7" t="inlineStr">
        <is>
          <t>AUD</t>
        </is>
      </c>
      <c r="F7" t="inlineStr">
        <is>
          <t>AS001</t>
        </is>
      </c>
    </row>
    <row r="8">
      <c r="A8" t="inlineStr">
        <is>
          <t>AS001-FOREIGN_SOURCE_INCOME</t>
        </is>
      </c>
      <c r="C8" t="inlineStr">
        <is>
          <t>FOREIGN_SOURCE_INCOME</t>
        </is>
      </c>
      <c r="D8" t="n">
        <v>12.27</v>
      </c>
      <c r="E8" t="inlineStr">
        <is>
          <t>AUD</t>
        </is>
      </c>
      <c r="F8" t="inlineStr">
        <is>
          <t>AS001</t>
        </is>
      </c>
    </row>
    <row r="9">
      <c r="A9" t="inlineStr">
        <is>
          <t>AS001-INTEREST</t>
        </is>
      </c>
      <c r="C9" t="inlineStr">
        <is>
          <t>INTEREST</t>
        </is>
      </c>
      <c r="D9" t="n">
        <v>3.51</v>
      </c>
      <c r="E9" t="inlineStr">
        <is>
          <t>AUD</t>
        </is>
      </c>
      <c r="F9" t="inlineStr">
        <is>
          <t>AS001</t>
        </is>
      </c>
    </row>
    <row r="10">
      <c r="A10" t="inlineStr">
        <is>
          <t>AS001-FRANKING_CREDIT</t>
        </is>
      </c>
      <c r="C10" t="inlineStr">
        <is>
          <t>FRANKING_CREDIT</t>
        </is>
      </c>
      <c r="D10" t="n">
        <v>58.62</v>
      </c>
      <c r="E10" t="inlineStr">
        <is>
          <t>AUD</t>
        </is>
      </c>
      <c r="F10" t="inlineStr">
        <is>
          <t>AS001</t>
        </is>
      </c>
    </row>
    <row r="11">
      <c r="A11" t="inlineStr">
        <is>
          <t>AS001-FOREIGN_INCOME_TAX_OFFSET</t>
        </is>
      </c>
      <c r="C11" t="inlineStr">
        <is>
          <t>FOREIGN_INCOME_TAX_OFFSET</t>
        </is>
      </c>
      <c r="D11" t="n">
        <v>1.23</v>
      </c>
      <c r="E11" t="inlineStr">
        <is>
          <t>AUD</t>
        </is>
      </c>
      <c r="F11" t="inlineStr">
        <is>
          <t>AS001</t>
        </is>
      </c>
    </row>
    <row r="12">
      <c r="A12" t="inlineStr">
        <is>
          <t>AS001-COSTBASE_INCREASE</t>
        </is>
      </c>
      <c r="C12" t="inlineStr">
        <is>
          <t>COSTBASE_INCREASE</t>
        </is>
      </c>
      <c r="D12" t="n">
        <v>2.7</v>
      </c>
      <c r="E12" t="inlineStr">
        <is>
          <t>AUD</t>
        </is>
      </c>
      <c r="F12" t="inlineStr">
        <is>
          <t>AS001</t>
        </is>
      </c>
    </row>
    <row r="13">
      <c r="A13" t="inlineStr">
        <is>
          <t>AS002-DISCOUNTED_NTAP</t>
        </is>
      </c>
      <c r="C13" t="inlineStr">
        <is>
          <t>DISCOUNTED_NTAP</t>
        </is>
      </c>
      <c r="D13" t="n">
        <v>6.16</v>
      </c>
      <c r="E13" t="inlineStr">
        <is>
          <t>AUD</t>
        </is>
      </c>
      <c r="F13" t="inlineStr">
        <is>
          <t>AS002</t>
        </is>
      </c>
    </row>
    <row r="14">
      <c r="A14" t="inlineStr">
        <is>
          <t>AS002-OTHER_NTAP</t>
        </is>
      </c>
      <c r="C14" t="inlineStr">
        <is>
          <t>OTHER_NTAP</t>
        </is>
      </c>
      <c r="D14" t="n">
        <v>2.11</v>
      </c>
      <c r="E14" t="inlineStr">
        <is>
          <t>AUD</t>
        </is>
      </c>
      <c r="F14" t="inlineStr">
        <is>
          <t>AS002</t>
        </is>
      </c>
    </row>
    <row r="15">
      <c r="A15" t="inlineStr">
        <is>
          <t>AS002-AMIT_GROSS_UP</t>
        </is>
      </c>
      <c r="C15" t="inlineStr">
        <is>
          <t>AMIT_GROSS_UP</t>
        </is>
      </c>
      <c r="D15" t="n">
        <v>6.16</v>
      </c>
      <c r="E15" t="inlineStr">
        <is>
          <t>AUD</t>
        </is>
      </c>
      <c r="F15" t="inlineStr">
        <is>
          <t>AS002</t>
        </is>
      </c>
    </row>
    <row r="16">
      <c r="A16" t="inlineStr">
        <is>
          <t>AS002-TOTAL_CY_CG</t>
        </is>
      </c>
      <c r="C16" t="inlineStr">
        <is>
          <t>TOTAL_CY_CG</t>
        </is>
      </c>
      <c r="D16" t="n">
        <v>14.43</v>
      </c>
      <c r="E16" t="inlineStr">
        <is>
          <t>AUD</t>
        </is>
      </c>
      <c r="F16" t="inlineStr">
        <is>
          <t>AS002</t>
        </is>
      </c>
    </row>
    <row r="17">
      <c r="A17" t="inlineStr">
        <is>
          <t>AS002-FOREIGN_SOURCE_INCOME</t>
        </is>
      </c>
      <c r="C17" t="inlineStr">
        <is>
          <t>FOREIGN_SOURCE_INCOME</t>
        </is>
      </c>
      <c r="D17" t="n">
        <v>74.41</v>
      </c>
      <c r="E17" t="inlineStr">
        <is>
          <t>AUD</t>
        </is>
      </c>
      <c r="F17" t="inlineStr">
        <is>
          <t>AS002</t>
        </is>
      </c>
    </row>
    <row r="18">
      <c r="A18" t="inlineStr">
        <is>
          <t>AS002-INTEREST</t>
        </is>
      </c>
      <c r="C18" t="inlineStr">
        <is>
          <t>INTEREST</t>
        </is>
      </c>
      <c r="D18" t="n">
        <v>3.96</v>
      </c>
      <c r="E18" t="inlineStr">
        <is>
          <t>AUD</t>
        </is>
      </c>
      <c r="F18" t="inlineStr">
        <is>
          <t>AS002</t>
        </is>
      </c>
    </row>
    <row r="19">
      <c r="A19" t="inlineStr">
        <is>
          <t>AS002-UNFRANKED_DISTRIBUTION</t>
        </is>
      </c>
      <c r="C19" t="inlineStr">
        <is>
          <t>UNFRANKED_DISTRIBUTION</t>
        </is>
      </c>
      <c r="D19" t="n">
        <v>0.79</v>
      </c>
      <c r="E19" t="inlineStr">
        <is>
          <t>AUD</t>
        </is>
      </c>
      <c r="F19" t="inlineStr">
        <is>
          <t>AS002</t>
        </is>
      </c>
    </row>
    <row r="20">
      <c r="A20" t="inlineStr">
        <is>
          <t>AS002-FOREIGN_INCOME_TAX_OFFSET</t>
        </is>
      </c>
      <c r="C20" t="inlineStr">
        <is>
          <t>FOREIGN_INCOME_TAX_OFFSET</t>
        </is>
      </c>
      <c r="D20" t="n">
        <v>7.44</v>
      </c>
      <c r="E20" t="inlineStr">
        <is>
          <t>AUD</t>
        </is>
      </c>
      <c r="F20" t="inlineStr">
        <is>
          <t>AS002</t>
        </is>
      </c>
    </row>
    <row r="21">
      <c r="A21" t="inlineStr">
        <is>
          <t>AS002-COSTBASE_INCREASE</t>
        </is>
      </c>
      <c r="C21" t="inlineStr">
        <is>
          <t>COSTBASE_INCREASE</t>
        </is>
      </c>
      <c r="D21" t="n">
        <v>7.49</v>
      </c>
      <c r="E21" t="inlineStr">
        <is>
          <t>AUD</t>
        </is>
      </c>
      <c r="F21" t="inlineStr">
        <is>
          <t>AS002</t>
        </is>
      </c>
    </row>
    <row r="22">
      <c r="A22" t="inlineStr">
        <is>
          <t>AS003-DISCOUNTED_NTAP</t>
        </is>
      </c>
      <c r="C22" t="inlineStr">
        <is>
          <t>DISCOUNTED_NTAP</t>
        </is>
      </c>
      <c r="D22" t="n">
        <v>46.6</v>
      </c>
      <c r="E22" t="inlineStr">
        <is>
          <t>AUD</t>
        </is>
      </c>
      <c r="F22" t="inlineStr">
        <is>
          <t>AS003</t>
        </is>
      </c>
    </row>
    <row r="23">
      <c r="A23" t="inlineStr">
        <is>
          <t>AS003-OTHER_NTAP</t>
        </is>
      </c>
      <c r="C23" t="inlineStr">
        <is>
          <t>OTHER_NTAP</t>
        </is>
      </c>
      <c r="D23" t="n">
        <v>2.95</v>
      </c>
      <c r="E23" t="inlineStr">
        <is>
          <t>AUD</t>
        </is>
      </c>
      <c r="F23" t="inlineStr">
        <is>
          <t>AS003</t>
        </is>
      </c>
    </row>
    <row r="24">
      <c r="A24" t="inlineStr">
        <is>
          <t>AS003-AMIT_GROSS_UP</t>
        </is>
      </c>
      <c r="C24" t="inlineStr">
        <is>
          <t>AMIT_GROSS_UP</t>
        </is>
      </c>
      <c r="D24" t="n">
        <v>46.6</v>
      </c>
      <c r="E24" t="inlineStr">
        <is>
          <t>AUD</t>
        </is>
      </c>
      <c r="F24" t="inlineStr">
        <is>
          <t>AS003</t>
        </is>
      </c>
    </row>
    <row r="25">
      <c r="A25" t="inlineStr">
        <is>
          <t>AS003-TOTAL_CY_CG</t>
        </is>
      </c>
      <c r="C25" t="inlineStr">
        <is>
          <t>TOTAL_CY_CG</t>
        </is>
      </c>
      <c r="D25" t="n">
        <v>96.15000000000001</v>
      </c>
      <c r="E25" t="inlineStr">
        <is>
          <t>AUD</t>
        </is>
      </c>
      <c r="F25" t="inlineStr">
        <is>
          <t>AS003</t>
        </is>
      </c>
    </row>
    <row r="26">
      <c r="A26" t="inlineStr">
        <is>
          <t>AS003-FRANKED_DISTRIBUTION</t>
        </is>
      </c>
      <c r="C26" t="inlineStr">
        <is>
          <t>FRANKED_DISTRIBUTION</t>
        </is>
      </c>
      <c r="D26" t="n">
        <v>566.1</v>
      </c>
      <c r="E26" t="inlineStr">
        <is>
          <t>AUD</t>
        </is>
      </c>
      <c r="F26" t="inlineStr">
        <is>
          <t>AS003</t>
        </is>
      </c>
    </row>
    <row r="27">
      <c r="A27" t="inlineStr">
        <is>
          <t>AS003-UNFRANKED_DISTRIBUTION</t>
        </is>
      </c>
      <c r="C27" t="inlineStr">
        <is>
          <t>UNFRANKED_DISTRIBUTION</t>
        </is>
      </c>
      <c r="D27" t="n">
        <v>94.34999999999999</v>
      </c>
      <c r="E27" t="inlineStr">
        <is>
          <t>AUD</t>
        </is>
      </c>
      <c r="F27" t="inlineStr">
        <is>
          <t>AS003</t>
        </is>
      </c>
    </row>
    <row r="28">
      <c r="A28" t="inlineStr">
        <is>
          <t>AS003-FOREIGN_SOURCE_INCOME</t>
        </is>
      </c>
      <c r="C28" t="inlineStr">
        <is>
          <t>FOREIGN_SOURCE_INCOME</t>
        </is>
      </c>
      <c r="D28" t="n">
        <v>50.8</v>
      </c>
      <c r="E28" t="inlineStr">
        <is>
          <t>AUD</t>
        </is>
      </c>
      <c r="F28" t="inlineStr">
        <is>
          <t>AS003</t>
        </is>
      </c>
    </row>
    <row r="29">
      <c r="A29" t="inlineStr">
        <is>
          <t>AS003-INTEREST</t>
        </is>
      </c>
      <c r="C29" t="inlineStr">
        <is>
          <t>INTEREST</t>
        </is>
      </c>
      <c r="D29" t="n">
        <v>14.52</v>
      </c>
      <c r="E29" t="inlineStr">
        <is>
          <t>AUD</t>
        </is>
      </c>
      <c r="F29" t="inlineStr">
        <is>
          <t>AS003</t>
        </is>
      </c>
    </row>
    <row r="30">
      <c r="A30" t="inlineStr">
        <is>
          <t>AS003-FRANKING_CREDIT</t>
        </is>
      </c>
      <c r="C30" t="inlineStr">
        <is>
          <t>FRANKING_CREDIT</t>
        </is>
      </c>
      <c r="D30" t="n">
        <v>242.61</v>
      </c>
      <c r="E30" t="inlineStr">
        <is>
          <t>AUD</t>
        </is>
      </c>
      <c r="F30" t="inlineStr">
        <is>
          <t>AS003</t>
        </is>
      </c>
    </row>
    <row r="31">
      <c r="A31" t="inlineStr">
        <is>
          <t>AS003-FOREIGN_INCOME_TAX_OFFSET</t>
        </is>
      </c>
      <c r="C31" t="inlineStr">
        <is>
          <t>FOREIGN_INCOME_TAX_OFFSET</t>
        </is>
      </c>
      <c r="D31" t="n">
        <v>5.08</v>
      </c>
      <c r="E31" t="inlineStr">
        <is>
          <t>AUD</t>
        </is>
      </c>
      <c r="F31" t="inlineStr">
        <is>
          <t>AS003</t>
        </is>
      </c>
    </row>
    <row r="32">
      <c r="A32" t="inlineStr">
        <is>
          <t>AS003-COSTBASE_DECREASE</t>
        </is>
      </c>
      <c r="C32" t="inlineStr">
        <is>
          <t>COSTBASE_DECREASE</t>
        </is>
      </c>
      <c r="D32" t="n">
        <v>67.83</v>
      </c>
      <c r="E32" t="inlineStr">
        <is>
          <t>AUD</t>
        </is>
      </c>
      <c r="F32" t="inlineStr">
        <is>
          <t>AS003</t>
        </is>
      </c>
    </row>
    <row r="33">
      <c r="A33" t="inlineStr">
        <is>
          <t>AS004-DISCOUNTED_NTAP</t>
        </is>
      </c>
      <c r="C33" t="inlineStr">
        <is>
          <t>DISCOUNTED_NTAP</t>
        </is>
      </c>
      <c r="D33" t="n">
        <v>21.2</v>
      </c>
      <c r="E33" t="inlineStr">
        <is>
          <t>AUD</t>
        </is>
      </c>
      <c r="F33" t="inlineStr">
        <is>
          <t>AS004</t>
        </is>
      </c>
    </row>
    <row r="34">
      <c r="A34" t="inlineStr">
        <is>
          <t>AS004-OTHER_NTAP</t>
        </is>
      </c>
      <c r="C34" t="inlineStr">
        <is>
          <t>OTHER_NTAP</t>
        </is>
      </c>
      <c r="D34" t="n">
        <v>7.1</v>
      </c>
      <c r="E34" t="inlineStr">
        <is>
          <t>AUD</t>
        </is>
      </c>
      <c r="F34" t="inlineStr">
        <is>
          <t>AS004</t>
        </is>
      </c>
    </row>
    <row r="35">
      <c r="A35" t="inlineStr">
        <is>
          <t>AS004-AMIT_GROSS_UP</t>
        </is>
      </c>
      <c r="C35" t="inlineStr">
        <is>
          <t>AMIT_GROSS_UP</t>
        </is>
      </c>
      <c r="D35" t="n">
        <v>21.2</v>
      </c>
      <c r="E35" t="inlineStr">
        <is>
          <t>AUD</t>
        </is>
      </c>
      <c r="F35" t="inlineStr">
        <is>
          <t>AS004</t>
        </is>
      </c>
    </row>
    <row r="36">
      <c r="A36" t="inlineStr">
        <is>
          <t>AS004-TOTAL_CY_CG</t>
        </is>
      </c>
      <c r="C36" t="inlineStr">
        <is>
          <t>TOTAL_CY_CG</t>
        </is>
      </c>
      <c r="D36" t="n">
        <v>49.5</v>
      </c>
      <c r="E36" t="inlineStr">
        <is>
          <t>AUD</t>
        </is>
      </c>
      <c r="F36" t="inlineStr">
        <is>
          <t>AS004</t>
        </is>
      </c>
    </row>
    <row r="37">
      <c r="A37" t="inlineStr">
        <is>
          <t>AS004-FOREIGN_SOURCE_INCOME</t>
        </is>
      </c>
      <c r="C37" t="inlineStr">
        <is>
          <t>FOREIGN_SOURCE_INCOME</t>
        </is>
      </c>
      <c r="D37" t="n">
        <v>426.37</v>
      </c>
      <c r="E37" t="inlineStr">
        <is>
          <t>AUD</t>
        </is>
      </c>
      <c r="F37" t="inlineStr">
        <is>
          <t>AS004</t>
        </is>
      </c>
    </row>
    <row r="38">
      <c r="A38" t="inlineStr">
        <is>
          <t>AS004-INTEREST</t>
        </is>
      </c>
      <c r="C38" t="inlineStr">
        <is>
          <t>INTEREST</t>
        </is>
      </c>
      <c r="D38" t="n">
        <v>22.68</v>
      </c>
      <c r="E38" t="inlineStr">
        <is>
          <t>AUD</t>
        </is>
      </c>
      <c r="F38" t="inlineStr">
        <is>
          <t>AS004</t>
        </is>
      </c>
    </row>
    <row r="39">
      <c r="A39" t="inlineStr">
        <is>
          <t>AS004-UNFRANKED_DISTRIBUTION</t>
        </is>
      </c>
      <c r="C39" t="inlineStr">
        <is>
          <t>UNFRANKED_DISTRIBUTION</t>
        </is>
      </c>
      <c r="D39" t="n">
        <v>4.54</v>
      </c>
      <c r="E39" t="inlineStr">
        <is>
          <t>AUD</t>
        </is>
      </c>
      <c r="F39" t="inlineStr">
        <is>
          <t>AS004</t>
        </is>
      </c>
    </row>
    <row r="40">
      <c r="A40" t="inlineStr">
        <is>
          <t>AS004-FOREIGN_INCOME_TAX_OFFSET</t>
        </is>
      </c>
      <c r="C40" t="inlineStr">
        <is>
          <t>FOREIGN_INCOME_TAX_OFFSET</t>
        </is>
      </c>
      <c r="D40" t="n">
        <v>42.64</v>
      </c>
      <c r="E40" t="inlineStr">
        <is>
          <t>AUD</t>
        </is>
      </c>
      <c r="F40" t="inlineStr">
        <is>
          <t>AS004</t>
        </is>
      </c>
    </row>
    <row r="41">
      <c r="A41" t="inlineStr">
        <is>
          <t>AS004-COSTBASE_DECREASE</t>
        </is>
      </c>
      <c r="C41" t="inlineStr">
        <is>
          <t>COSTBASE_DECREASE</t>
        </is>
      </c>
      <c r="D41" t="n">
        <v>60.31</v>
      </c>
      <c r="E41" t="inlineStr">
        <is>
          <t>AUD</t>
        </is>
      </c>
      <c r="F41" t="inlineStr">
        <is>
          <t>AS004</t>
        </is>
      </c>
    </row>
    <row r="42">
      <c r="A42" t="inlineStr">
        <is>
          <t>AS005-DISCOUNTED_TAP</t>
        </is>
      </c>
      <c r="C42" t="inlineStr">
        <is>
          <t>DISCOUNTED_TAP</t>
        </is>
      </c>
      <c r="D42" t="n">
        <v>1.15</v>
      </c>
      <c r="E42" t="inlineStr">
        <is>
          <t>AUD</t>
        </is>
      </c>
      <c r="F42" t="inlineStr">
        <is>
          <t>AS005</t>
        </is>
      </c>
    </row>
    <row r="43">
      <c r="A43" t="inlineStr">
        <is>
          <t>AS005-DISCOUNTED_NTAP</t>
        </is>
      </c>
      <c r="C43" t="inlineStr">
        <is>
          <t>DISCOUNTED_NTAP</t>
        </is>
      </c>
      <c r="D43" t="n">
        <v>14.86</v>
      </c>
      <c r="E43" t="inlineStr">
        <is>
          <t>AUD</t>
        </is>
      </c>
      <c r="F43" t="inlineStr">
        <is>
          <t>AS005</t>
        </is>
      </c>
    </row>
    <row r="44">
      <c r="A44" t="inlineStr">
        <is>
          <t>AS005-OTHER_NTAP</t>
        </is>
      </c>
      <c r="C44" t="inlineStr">
        <is>
          <t>OTHER_NTAP</t>
        </is>
      </c>
      <c r="D44" t="n">
        <v>1.6</v>
      </c>
      <c r="E44" t="inlineStr">
        <is>
          <t>AUD</t>
        </is>
      </c>
      <c r="F44" t="inlineStr">
        <is>
          <t>AS005</t>
        </is>
      </c>
    </row>
    <row r="45">
      <c r="A45" t="inlineStr">
        <is>
          <t>AS005-AMIT_GROSS_UP</t>
        </is>
      </c>
      <c r="C45" t="inlineStr">
        <is>
          <t>AMIT_GROSS_UP</t>
        </is>
      </c>
      <c r="D45" t="n">
        <v>16.01</v>
      </c>
      <c r="E45" t="inlineStr">
        <is>
          <t>AUD</t>
        </is>
      </c>
      <c r="F45" t="inlineStr">
        <is>
          <t>AS005</t>
        </is>
      </c>
    </row>
    <row r="46">
      <c r="A46" t="inlineStr">
        <is>
          <t>AS005-TOTAL_CY_CG</t>
        </is>
      </c>
      <c r="C46" t="inlineStr">
        <is>
          <t>TOTAL_CY_CG</t>
        </is>
      </c>
      <c r="D46" t="n">
        <v>33.62</v>
      </c>
      <c r="E46" t="inlineStr">
        <is>
          <t>AUD</t>
        </is>
      </c>
      <c r="F46" t="inlineStr">
        <is>
          <t>AS005</t>
        </is>
      </c>
    </row>
    <row r="47">
      <c r="A47" t="inlineStr">
        <is>
          <t>AS005-FRANKED_DISTRIBUTION</t>
        </is>
      </c>
      <c r="C47" t="inlineStr">
        <is>
          <t>FRANKED_DISTRIBUTION</t>
        </is>
      </c>
      <c r="D47" t="n">
        <v>246.1</v>
      </c>
      <c r="E47" t="inlineStr">
        <is>
          <t>AUD</t>
        </is>
      </c>
      <c r="F47" t="inlineStr">
        <is>
          <t>AS005</t>
        </is>
      </c>
    </row>
    <row r="48">
      <c r="A48" t="inlineStr">
        <is>
          <t>AS005-UNFRANKED_DISTRIBUTION</t>
        </is>
      </c>
      <c r="C48" t="inlineStr">
        <is>
          <t>UNFRANKED_DISTRIBUTION</t>
        </is>
      </c>
      <c r="D48" t="n">
        <v>36.91</v>
      </c>
      <c r="E48" t="inlineStr">
        <is>
          <t>AUD</t>
        </is>
      </c>
      <c r="F48" t="inlineStr">
        <is>
          <t>AS005</t>
        </is>
      </c>
    </row>
    <row r="49">
      <c r="A49" t="inlineStr">
        <is>
          <t>AS005-FOREIGN_SOURCE_INCOME</t>
        </is>
      </c>
      <c r="C49" t="inlineStr">
        <is>
          <t>FOREIGN_SOURCE_INCOME</t>
        </is>
      </c>
      <c r="D49" t="n">
        <v>18.46</v>
      </c>
      <c r="E49" t="inlineStr">
        <is>
          <t>AUD</t>
        </is>
      </c>
      <c r="F49" t="inlineStr">
        <is>
          <t>AS005</t>
        </is>
      </c>
    </row>
    <row r="50">
      <c r="A50" t="inlineStr">
        <is>
          <t>AS005-INTEREST</t>
        </is>
      </c>
      <c r="C50" t="inlineStr">
        <is>
          <t>INTEREST</t>
        </is>
      </c>
      <c r="D50" t="n">
        <v>6.15</v>
      </c>
      <c r="E50" t="inlineStr">
        <is>
          <t>AUD</t>
        </is>
      </c>
      <c r="F50" t="inlineStr">
        <is>
          <t>AS005</t>
        </is>
      </c>
    </row>
    <row r="51">
      <c r="A51" t="inlineStr">
        <is>
          <t>AS005-FRANKING_CREDIT</t>
        </is>
      </c>
      <c r="C51" t="inlineStr">
        <is>
          <t>FRANKING_CREDIT</t>
        </is>
      </c>
      <c r="D51" t="n">
        <v>105.47</v>
      </c>
      <c r="E51" t="inlineStr">
        <is>
          <t>AUD</t>
        </is>
      </c>
      <c r="F51" t="inlineStr">
        <is>
          <t>AS005</t>
        </is>
      </c>
    </row>
    <row r="52">
      <c r="A52" t="inlineStr">
        <is>
          <t>AS005-FOREIGN_INCOME_TAX_OFFSET</t>
        </is>
      </c>
      <c r="C52" t="inlineStr">
        <is>
          <t>FOREIGN_INCOME_TAX_OFFSET</t>
        </is>
      </c>
      <c r="D52" t="n">
        <v>1.85</v>
      </c>
      <c r="E52" t="inlineStr">
        <is>
          <t>AUD</t>
        </is>
      </c>
      <c r="F52" t="inlineStr">
        <is>
          <t>AS005</t>
        </is>
      </c>
    </row>
    <row r="53">
      <c r="A53" t="inlineStr">
        <is>
          <t>AS005-COSTBASE_INCREASE</t>
        </is>
      </c>
      <c r="C53" t="inlineStr">
        <is>
          <t>COSTBASE_INCREASE</t>
        </is>
      </c>
      <c r="D53" t="n">
        <v>14.66</v>
      </c>
      <c r="E53" t="inlineStr">
        <is>
          <t>AUD</t>
        </is>
      </c>
      <c r="F53" t="inlineStr">
        <is>
          <t>AS005</t>
        </is>
      </c>
    </row>
    <row r="54">
      <c r="A54" t="inlineStr">
        <is>
          <t>AS006-DISCOUNTED_NTAP</t>
        </is>
      </c>
      <c r="C54" t="inlineStr">
        <is>
          <t>DISCOUNTED_NTAP</t>
        </is>
      </c>
      <c r="D54" t="n">
        <v>45.31</v>
      </c>
      <c r="E54" t="inlineStr">
        <is>
          <t>AUD</t>
        </is>
      </c>
      <c r="F54" t="inlineStr">
        <is>
          <t>AS006</t>
        </is>
      </c>
    </row>
    <row r="55">
      <c r="A55" t="inlineStr">
        <is>
          <t>AS006-OTHER_NTAP</t>
        </is>
      </c>
      <c r="C55" t="inlineStr">
        <is>
          <t>OTHER_NTAP</t>
        </is>
      </c>
      <c r="D55" t="n">
        <v>4.75</v>
      </c>
      <c r="E55" t="inlineStr">
        <is>
          <t>AUD</t>
        </is>
      </c>
      <c r="F55" t="inlineStr">
        <is>
          <t>AS006</t>
        </is>
      </c>
    </row>
    <row r="56">
      <c r="A56" t="inlineStr">
        <is>
          <t>AS006-AMIT_GROSS_UP</t>
        </is>
      </c>
      <c r="C56" t="inlineStr">
        <is>
          <t>AMIT_GROSS_UP</t>
        </is>
      </c>
      <c r="D56" t="n">
        <v>45.31</v>
      </c>
      <c r="E56" t="inlineStr">
        <is>
          <t>AUD</t>
        </is>
      </c>
      <c r="F56" t="inlineStr">
        <is>
          <t>AS006</t>
        </is>
      </c>
    </row>
    <row r="57">
      <c r="A57" t="inlineStr">
        <is>
          <t>AS006-TOTAL_CY_CG</t>
        </is>
      </c>
      <c r="C57" t="inlineStr">
        <is>
          <t>TOTAL_CY_CG</t>
        </is>
      </c>
      <c r="D57" t="n">
        <v>95.37</v>
      </c>
      <c r="E57" t="inlineStr">
        <is>
          <t>AUD</t>
        </is>
      </c>
      <c r="F57" t="inlineStr">
        <is>
          <t>AS006</t>
        </is>
      </c>
    </row>
    <row r="58">
      <c r="A58" t="inlineStr">
        <is>
          <t>AS006-FRANKED_DISTRIBUTION</t>
        </is>
      </c>
      <c r="C58" t="inlineStr">
        <is>
          <t>FRANKED_DISTRIBUTION</t>
        </is>
      </c>
      <c r="D58" t="n">
        <v>1202.59</v>
      </c>
      <c r="E58" t="inlineStr">
        <is>
          <t>AUD</t>
        </is>
      </c>
      <c r="F58" t="inlineStr">
        <is>
          <t>AS006</t>
        </is>
      </c>
    </row>
    <row r="59">
      <c r="A59" t="inlineStr">
        <is>
          <t>AS006-UNFRANKED_DISTRIBUTION</t>
        </is>
      </c>
      <c r="C59" t="inlineStr">
        <is>
          <t>UNFRANKED_DISTRIBUTION</t>
        </is>
      </c>
      <c r="D59" t="n">
        <v>200.43</v>
      </c>
      <c r="E59" t="inlineStr">
        <is>
          <t>AUD</t>
        </is>
      </c>
      <c r="F59" t="inlineStr">
        <is>
          <t>AS006</t>
        </is>
      </c>
    </row>
    <row r="60">
      <c r="A60" t="inlineStr">
        <is>
          <t>AS006-FOREIGN_SOURCE_INCOME</t>
        </is>
      </c>
      <c r="C60" t="inlineStr">
        <is>
          <t>FOREIGN_SOURCE_INCOME</t>
        </is>
      </c>
      <c r="D60" t="n">
        <v>107.93</v>
      </c>
      <c r="E60" t="inlineStr">
        <is>
          <t>AUD</t>
        </is>
      </c>
      <c r="F60" t="inlineStr">
        <is>
          <t>AS006</t>
        </is>
      </c>
    </row>
    <row r="61">
      <c r="A61" t="inlineStr">
        <is>
          <t>AS006-INTEREST</t>
        </is>
      </c>
      <c r="C61" t="inlineStr">
        <is>
          <t>INTEREST</t>
        </is>
      </c>
      <c r="D61" t="n">
        <v>30.84</v>
      </c>
      <c r="E61" t="inlineStr">
        <is>
          <t>AUD</t>
        </is>
      </c>
      <c r="F61" t="inlineStr">
        <is>
          <t>AS006</t>
        </is>
      </c>
    </row>
    <row r="62">
      <c r="A62" t="inlineStr">
        <is>
          <t>AS006-FRANKING_CREDIT</t>
        </is>
      </c>
      <c r="C62" t="inlineStr">
        <is>
          <t>FRANKING_CREDIT</t>
        </is>
      </c>
      <c r="D62" t="n">
        <v>515.4</v>
      </c>
      <c r="E62" t="inlineStr">
        <is>
          <t>AUD</t>
        </is>
      </c>
      <c r="F62" t="inlineStr">
        <is>
          <t>AS006</t>
        </is>
      </c>
    </row>
    <row r="63">
      <c r="A63" t="inlineStr">
        <is>
          <t>AS006-FOREIGN_INCOME_TAX_OFFSET</t>
        </is>
      </c>
      <c r="C63" t="inlineStr">
        <is>
          <t>FOREIGN_INCOME_TAX_OFFSET</t>
        </is>
      </c>
      <c r="D63" t="n">
        <v>10.79</v>
      </c>
      <c r="E63" t="inlineStr">
        <is>
          <t>AUD</t>
        </is>
      </c>
      <c r="F63" t="inlineStr">
        <is>
          <t>AS006</t>
        </is>
      </c>
    </row>
    <row r="64">
      <c r="A64" t="inlineStr">
        <is>
          <t>AS006-COSTBASE_INCREASE</t>
        </is>
      </c>
      <c r="C64" t="inlineStr">
        <is>
          <t>COSTBASE_INCREASE</t>
        </is>
      </c>
      <c r="D64" t="n">
        <v>54.17</v>
      </c>
      <c r="E64" t="inlineStr">
        <is>
          <t>AUD</t>
        </is>
      </c>
      <c r="F64" t="inlineStr">
        <is>
          <t>AS006</t>
        </is>
      </c>
    </row>
    <row r="65">
      <c r="A65" t="inlineStr">
        <is>
          <t>AS007-DISCOUNTED_NTAP</t>
        </is>
      </c>
      <c r="C65" t="inlineStr">
        <is>
          <t>DISCOUNTED_NTAP</t>
        </is>
      </c>
      <c r="D65" t="n">
        <v>59.11</v>
      </c>
      <c r="E65" t="inlineStr">
        <is>
          <t>AUD</t>
        </is>
      </c>
      <c r="F65" t="inlineStr">
        <is>
          <t>AS007</t>
        </is>
      </c>
    </row>
    <row r="66">
      <c r="A66" t="inlineStr">
        <is>
          <t>AS007-OTHER_NTAP</t>
        </is>
      </c>
      <c r="C66" t="inlineStr">
        <is>
          <t>OTHER_NTAP</t>
        </is>
      </c>
      <c r="D66" t="n">
        <v>2.75</v>
      </c>
      <c r="E66" t="inlineStr">
        <is>
          <t>AUD</t>
        </is>
      </c>
      <c r="F66" t="inlineStr">
        <is>
          <t>AS007</t>
        </is>
      </c>
    </row>
    <row r="67">
      <c r="A67" t="inlineStr">
        <is>
          <t>AS007-AMIT_GROSS_UP</t>
        </is>
      </c>
      <c r="C67" t="inlineStr">
        <is>
          <t>AMIT_GROSS_UP</t>
        </is>
      </c>
      <c r="D67" t="n">
        <v>59.11</v>
      </c>
      <c r="E67" t="inlineStr">
        <is>
          <t>AUD</t>
        </is>
      </c>
      <c r="F67" t="inlineStr">
        <is>
          <t>AS007</t>
        </is>
      </c>
    </row>
    <row r="68">
      <c r="A68" t="inlineStr">
        <is>
          <t>AS007-TOTAL_CY_CG</t>
        </is>
      </c>
      <c r="C68" t="inlineStr">
        <is>
          <t>TOTAL_CY_CG</t>
        </is>
      </c>
      <c r="D68" t="n">
        <v>120.97</v>
      </c>
      <c r="E68" t="inlineStr">
        <is>
          <t>AUD</t>
        </is>
      </c>
      <c r="F68" t="inlineStr">
        <is>
          <t>AS007</t>
        </is>
      </c>
    </row>
    <row r="69">
      <c r="A69" t="inlineStr">
        <is>
          <t>AS007-FOREIGN_SOURCE_INCOME</t>
        </is>
      </c>
      <c r="C69" t="inlineStr">
        <is>
          <t>FOREIGN_SOURCE_INCOME</t>
        </is>
      </c>
      <c r="D69" t="n">
        <v>1182.6</v>
      </c>
      <c r="E69" t="inlineStr">
        <is>
          <t>AUD</t>
        </is>
      </c>
      <c r="F69" t="inlineStr">
        <is>
          <t>AS007</t>
        </is>
      </c>
    </row>
    <row r="70">
      <c r="A70" t="inlineStr">
        <is>
          <t>AS007-INTEREST</t>
        </is>
      </c>
      <c r="C70" t="inlineStr">
        <is>
          <t>INTEREST</t>
        </is>
      </c>
      <c r="D70" t="n">
        <v>62.9</v>
      </c>
      <c r="E70" t="inlineStr">
        <is>
          <t>AUD</t>
        </is>
      </c>
      <c r="F70" t="inlineStr">
        <is>
          <t>AS007</t>
        </is>
      </c>
    </row>
    <row r="71">
      <c r="A71" t="inlineStr">
        <is>
          <t>AS007-UNFRANKED_DISTRIBUTION</t>
        </is>
      </c>
      <c r="C71" t="inlineStr">
        <is>
          <t>UNFRANKED_DISTRIBUTION</t>
        </is>
      </c>
      <c r="D71" t="n">
        <v>12.58</v>
      </c>
      <c r="E71" t="inlineStr">
        <is>
          <t>AUD</t>
        </is>
      </c>
      <c r="F71" t="inlineStr">
        <is>
          <t>AS007</t>
        </is>
      </c>
    </row>
    <row r="72">
      <c r="A72" t="inlineStr">
        <is>
          <t>AS007-FOREIGN_INCOME_TAX_OFFSET</t>
        </is>
      </c>
      <c r="C72" t="inlineStr">
        <is>
          <t>FOREIGN_INCOME_TAX_OFFSET</t>
        </is>
      </c>
      <c r="D72" t="n">
        <v>118.26</v>
      </c>
      <c r="E72" t="inlineStr">
        <is>
          <t>AUD</t>
        </is>
      </c>
      <c r="F72" t="inlineStr">
        <is>
          <t>AS007</t>
        </is>
      </c>
    </row>
    <row r="73">
      <c r="A73" t="inlineStr">
        <is>
          <t>AS007-COSTBASE_INCREASE</t>
        </is>
      </c>
      <c r="C73" t="inlineStr">
        <is>
          <t>COSTBASE_INCREASE</t>
        </is>
      </c>
      <c r="D73" t="n">
        <v>46.66</v>
      </c>
      <c r="E73" t="inlineStr">
        <is>
          <t>AUD</t>
        </is>
      </c>
      <c r="F73" t="inlineStr">
        <is>
          <t>AS007</t>
        </is>
      </c>
    </row>
    <row r="74">
      <c r="A74" t="inlineStr">
        <is>
          <t>AS008-DISCOUNTED_TAP</t>
        </is>
      </c>
      <c r="C74" t="inlineStr">
        <is>
          <t>DISCOUNTED_TAP</t>
        </is>
      </c>
      <c r="D74" t="n">
        <v>3.47</v>
      </c>
      <c r="E74" t="inlineStr">
        <is>
          <t>AUD</t>
        </is>
      </c>
      <c r="F74" t="inlineStr">
        <is>
          <t>AS008</t>
        </is>
      </c>
    </row>
    <row r="75">
      <c r="A75" t="inlineStr">
        <is>
          <t>AS008-DISCOUNTED_NTAP</t>
        </is>
      </c>
      <c r="C75" t="inlineStr">
        <is>
          <t>DISCOUNTED_NTAP</t>
        </is>
      </c>
      <c r="D75" t="n">
        <v>65.95</v>
      </c>
      <c r="E75" t="inlineStr">
        <is>
          <t>AUD</t>
        </is>
      </c>
      <c r="F75" t="inlineStr">
        <is>
          <t>AS008</t>
        </is>
      </c>
    </row>
    <row r="76">
      <c r="A76" t="inlineStr">
        <is>
          <t>AS008-OTHER_NTAP</t>
        </is>
      </c>
      <c r="C76" t="inlineStr">
        <is>
          <t>OTHER_NTAP</t>
        </is>
      </c>
      <c r="D76" t="n">
        <v>16.46</v>
      </c>
      <c r="E76" t="inlineStr">
        <is>
          <t>AUD</t>
        </is>
      </c>
      <c r="F76" t="inlineStr">
        <is>
          <t>AS008</t>
        </is>
      </c>
    </row>
    <row r="77">
      <c r="A77" t="inlineStr">
        <is>
          <t>AS008-AMIT_GROSS_UP</t>
        </is>
      </c>
      <c r="C77" t="inlineStr">
        <is>
          <t>AMIT_GROSS_UP</t>
        </is>
      </c>
      <c r="D77" t="n">
        <v>69.42</v>
      </c>
      <c r="E77" t="inlineStr">
        <is>
          <t>AUD</t>
        </is>
      </c>
      <c r="F77" t="inlineStr">
        <is>
          <t>AS008</t>
        </is>
      </c>
    </row>
    <row r="78">
      <c r="A78" t="inlineStr">
        <is>
          <t>AS008-TOTAL_CY_CG</t>
        </is>
      </c>
      <c r="C78" t="inlineStr">
        <is>
          <t>TOTAL_CY_CG</t>
        </is>
      </c>
      <c r="D78" t="n">
        <v>155.3</v>
      </c>
      <c r="E78" t="inlineStr">
        <is>
          <t>AUD</t>
        </is>
      </c>
      <c r="F78" t="inlineStr">
        <is>
          <t>AS008</t>
        </is>
      </c>
    </row>
    <row r="79">
      <c r="A79" t="inlineStr">
        <is>
          <t>AS008-FRANKED_DISTRIBUTION</t>
        </is>
      </c>
      <c r="C79" t="inlineStr">
        <is>
          <t>FRANKED_DISTRIBUTION</t>
        </is>
      </c>
      <c r="D79" t="n">
        <v>859.2</v>
      </c>
      <c r="E79" t="inlineStr">
        <is>
          <t>AUD</t>
        </is>
      </c>
      <c r="F79" t="inlineStr">
        <is>
          <t>AS008</t>
        </is>
      </c>
    </row>
    <row r="80">
      <c r="A80" t="inlineStr">
        <is>
          <t>AS008-UNFRANKED_DISTRIBUTION</t>
        </is>
      </c>
      <c r="C80" t="inlineStr">
        <is>
          <t>UNFRANKED_DISTRIBUTION</t>
        </is>
      </c>
      <c r="D80" t="n">
        <v>128.88</v>
      </c>
      <c r="E80" t="inlineStr">
        <is>
          <t>AUD</t>
        </is>
      </c>
      <c r="F80" t="inlineStr">
        <is>
          <t>AS008</t>
        </is>
      </c>
    </row>
    <row r="81">
      <c r="A81" t="inlineStr">
        <is>
          <t>AS008-FOREIGN_SOURCE_INCOME</t>
        </is>
      </c>
      <c r="C81" t="inlineStr">
        <is>
          <t>FOREIGN_SOURCE_INCOME</t>
        </is>
      </c>
      <c r="D81" t="n">
        <v>64.44</v>
      </c>
      <c r="E81" t="inlineStr">
        <is>
          <t>AUD</t>
        </is>
      </c>
      <c r="F81" t="inlineStr">
        <is>
          <t>AS008</t>
        </is>
      </c>
    </row>
    <row r="82">
      <c r="A82" t="inlineStr">
        <is>
          <t>AS008-INTEREST</t>
        </is>
      </c>
      <c r="C82" t="inlineStr">
        <is>
          <t>INTEREST</t>
        </is>
      </c>
      <c r="D82" t="n">
        <v>21.48</v>
      </c>
      <c r="E82" t="inlineStr">
        <is>
          <t>AUD</t>
        </is>
      </c>
      <c r="F82" t="inlineStr">
        <is>
          <t>AS008</t>
        </is>
      </c>
    </row>
    <row r="83">
      <c r="A83" t="inlineStr">
        <is>
          <t>AS008-FRANKING_CREDIT</t>
        </is>
      </c>
      <c r="C83" t="inlineStr">
        <is>
          <t>FRANKING_CREDIT</t>
        </is>
      </c>
      <c r="D83" t="n">
        <v>368.23</v>
      </c>
      <c r="E83" t="inlineStr">
        <is>
          <t>AUD</t>
        </is>
      </c>
      <c r="F83" t="inlineStr">
        <is>
          <t>AS008</t>
        </is>
      </c>
    </row>
    <row r="84">
      <c r="A84" t="inlineStr">
        <is>
          <t>AS008-FOREIGN_INCOME_TAX_OFFSET</t>
        </is>
      </c>
      <c r="C84" t="inlineStr">
        <is>
          <t>FOREIGN_INCOME_TAX_OFFSET</t>
        </is>
      </c>
      <c r="D84" t="n">
        <v>6.44</v>
      </c>
      <c r="E84" t="inlineStr">
        <is>
          <t>AUD</t>
        </is>
      </c>
      <c r="F84" t="inlineStr">
        <is>
          <t>AS008</t>
        </is>
      </c>
    </row>
    <row r="85">
      <c r="A85" t="inlineStr">
        <is>
          <t>AS008-COSTBASE_INCREASE</t>
        </is>
      </c>
      <c r="C85" t="inlineStr">
        <is>
          <t>COSTBASE_INCREASE</t>
        </is>
      </c>
      <c r="D85" t="n">
        <v>54.14</v>
      </c>
      <c r="E85" t="inlineStr">
        <is>
          <t>AUD</t>
        </is>
      </c>
      <c r="F85" t="inlineStr">
        <is>
          <t>AS008</t>
        </is>
      </c>
    </row>
    <row r="86">
      <c r="A86" t="inlineStr">
        <is>
          <t>AS009-DISCOUNTED_NTAP</t>
        </is>
      </c>
      <c r="C86" t="inlineStr">
        <is>
          <t>DISCOUNTED_NTAP</t>
        </is>
      </c>
      <c r="D86" t="n">
        <v>13.27</v>
      </c>
      <c r="E86" t="inlineStr">
        <is>
          <t>AUD</t>
        </is>
      </c>
      <c r="F86" t="inlineStr">
        <is>
          <t>AS009</t>
        </is>
      </c>
    </row>
    <row r="87">
      <c r="A87" t="inlineStr">
        <is>
          <t>AS009-OTHER_NTAP</t>
        </is>
      </c>
      <c r="C87" t="inlineStr">
        <is>
          <t>OTHER_NTAP</t>
        </is>
      </c>
      <c r="D87" t="n">
        <v>3.14</v>
      </c>
      <c r="E87" t="inlineStr">
        <is>
          <t>AUD</t>
        </is>
      </c>
      <c r="F87" t="inlineStr">
        <is>
          <t>AS009</t>
        </is>
      </c>
    </row>
    <row r="88">
      <c r="A88" t="inlineStr">
        <is>
          <t>AS009-AMIT_GROSS_UP</t>
        </is>
      </c>
      <c r="C88" t="inlineStr">
        <is>
          <t>AMIT_GROSS_UP</t>
        </is>
      </c>
      <c r="D88" t="n">
        <v>13.27</v>
      </c>
      <c r="E88" t="inlineStr">
        <is>
          <t>AUD</t>
        </is>
      </c>
      <c r="F88" t="inlineStr">
        <is>
          <t>AS009</t>
        </is>
      </c>
    </row>
    <row r="89">
      <c r="A89" t="inlineStr">
        <is>
          <t>AS009-TOTAL_CY_CG</t>
        </is>
      </c>
      <c r="C89" t="inlineStr">
        <is>
          <t>TOTAL_CY_CG</t>
        </is>
      </c>
      <c r="D89" t="n">
        <v>29.68</v>
      </c>
      <c r="E89" t="inlineStr">
        <is>
          <t>AUD</t>
        </is>
      </c>
      <c r="F89" t="inlineStr">
        <is>
          <t>AS009</t>
        </is>
      </c>
    </row>
    <row r="90">
      <c r="A90" t="inlineStr">
        <is>
          <t>AS009-FRANKED_DISTRIBUTION</t>
        </is>
      </c>
      <c r="C90" t="inlineStr">
        <is>
          <t>FRANKED_DISTRIBUTION</t>
        </is>
      </c>
      <c r="D90" t="n">
        <v>94.95999999999999</v>
      </c>
      <c r="E90" t="inlineStr">
        <is>
          <t>AUD</t>
        </is>
      </c>
      <c r="F90" t="inlineStr">
        <is>
          <t>AS009</t>
        </is>
      </c>
    </row>
    <row r="91">
      <c r="A91" t="inlineStr">
        <is>
          <t>AS009-UNFRANKED_DISTRIBUTION</t>
        </is>
      </c>
      <c r="C91" t="inlineStr">
        <is>
          <t>UNFRANKED_DISTRIBUTION</t>
        </is>
      </c>
      <c r="D91" t="n">
        <v>15.82</v>
      </c>
      <c r="E91" t="inlineStr">
        <is>
          <t>AUD</t>
        </is>
      </c>
      <c r="F91" t="inlineStr">
        <is>
          <t>AS009</t>
        </is>
      </c>
    </row>
    <row r="92">
      <c r="A92" t="inlineStr">
        <is>
          <t>AS009-FOREIGN_SOURCE_INCOME</t>
        </is>
      </c>
      <c r="C92" t="inlineStr">
        <is>
          <t>FOREIGN_SOURCE_INCOME</t>
        </is>
      </c>
      <c r="D92" t="n">
        <v>8.52</v>
      </c>
      <c r="E92" t="inlineStr">
        <is>
          <t>AUD</t>
        </is>
      </c>
      <c r="F92" t="inlineStr">
        <is>
          <t>AS009</t>
        </is>
      </c>
    </row>
    <row r="93">
      <c r="A93" t="inlineStr">
        <is>
          <t>AS009-INTEREST</t>
        </is>
      </c>
      <c r="C93" t="inlineStr">
        <is>
          <t>INTEREST</t>
        </is>
      </c>
      <c r="D93" t="n">
        <v>2.43</v>
      </c>
      <c r="E93" t="inlineStr">
        <is>
          <t>AUD</t>
        </is>
      </c>
      <c r="F93" t="inlineStr">
        <is>
          <t>AS009</t>
        </is>
      </c>
    </row>
    <row r="94">
      <c r="A94" t="inlineStr">
        <is>
          <t>AS009-FRANKING_CREDIT</t>
        </is>
      </c>
      <c r="C94" t="inlineStr">
        <is>
          <t>FRANKING_CREDIT</t>
        </is>
      </c>
      <c r="D94" t="n">
        <v>40.69</v>
      </c>
      <c r="E94" t="inlineStr">
        <is>
          <t>AUD</t>
        </is>
      </c>
      <c r="F94" t="inlineStr">
        <is>
          <t>AS009</t>
        </is>
      </c>
    </row>
    <row r="95">
      <c r="A95" t="inlineStr">
        <is>
          <t>AS009-FOREIGN_INCOME_TAX_OFFSET</t>
        </is>
      </c>
      <c r="C95" t="inlineStr">
        <is>
          <t>FOREIGN_INCOME_TAX_OFFSET</t>
        </is>
      </c>
      <c r="D95" t="n">
        <v>0.85</v>
      </c>
      <c r="E95" t="inlineStr">
        <is>
          <t>AUD</t>
        </is>
      </c>
      <c r="F95" t="inlineStr">
        <is>
          <t>AS009</t>
        </is>
      </c>
    </row>
    <row r="96">
      <c r="A96" t="inlineStr">
        <is>
          <t>AS009-COSTBASE_INCREASE</t>
        </is>
      </c>
      <c r="C96" t="inlineStr">
        <is>
          <t>COSTBASE_INCREASE</t>
        </is>
      </c>
      <c r="D96" t="n">
        <v>4.41</v>
      </c>
      <c r="E96" t="inlineStr">
        <is>
          <t>AUD</t>
        </is>
      </c>
      <c r="F96" t="inlineStr">
        <is>
          <t>AS009</t>
        </is>
      </c>
    </row>
    <row r="97">
      <c r="A97" t="inlineStr">
        <is>
          <t>AS010-DISCOUNTED_NTAP</t>
        </is>
      </c>
      <c r="C97" t="inlineStr">
        <is>
          <t>DISCOUNTED_NTAP</t>
        </is>
      </c>
      <c r="D97" t="n">
        <v>92.23</v>
      </c>
      <c r="E97" t="inlineStr">
        <is>
          <t>AUD</t>
        </is>
      </c>
      <c r="F97" t="inlineStr">
        <is>
          <t>AS010</t>
        </is>
      </c>
    </row>
    <row r="98">
      <c r="A98" t="inlineStr">
        <is>
          <t>AS010-OTHER_NTAP</t>
        </is>
      </c>
      <c r="C98" t="inlineStr">
        <is>
          <t>OTHER_NTAP</t>
        </is>
      </c>
      <c r="D98" t="n">
        <v>38.35</v>
      </c>
      <c r="E98" t="inlineStr">
        <is>
          <t>AUD</t>
        </is>
      </c>
      <c r="F98" t="inlineStr">
        <is>
          <t>AS010</t>
        </is>
      </c>
    </row>
    <row r="99">
      <c r="A99" t="inlineStr">
        <is>
          <t>AS010-AMIT_GROSS_UP</t>
        </is>
      </c>
      <c r="C99" t="inlineStr">
        <is>
          <t>AMIT_GROSS_UP</t>
        </is>
      </c>
      <c r="D99" t="n">
        <v>92.23</v>
      </c>
      <c r="E99" t="inlineStr">
        <is>
          <t>AUD</t>
        </is>
      </c>
      <c r="F99" t="inlineStr">
        <is>
          <t>AS010</t>
        </is>
      </c>
    </row>
    <row r="100">
      <c r="A100" t="inlineStr">
        <is>
          <t>AS010-TOTAL_CY_CG</t>
        </is>
      </c>
      <c r="C100" t="inlineStr">
        <is>
          <t>TOTAL_CY_CG</t>
        </is>
      </c>
      <c r="D100" t="n">
        <v>222.81</v>
      </c>
      <c r="E100" t="inlineStr">
        <is>
          <t>AUD</t>
        </is>
      </c>
      <c r="F100" t="inlineStr">
        <is>
          <t>AS010</t>
        </is>
      </c>
    </row>
    <row r="101">
      <c r="A101" t="inlineStr">
        <is>
          <t>AS010-FOREIGN_SOURCE_INCOME</t>
        </is>
      </c>
      <c r="C101" t="inlineStr">
        <is>
          <t>FOREIGN_SOURCE_INCOME</t>
        </is>
      </c>
      <c r="D101" t="n">
        <v>1713.15</v>
      </c>
      <c r="E101" t="inlineStr">
        <is>
          <t>AUD</t>
        </is>
      </c>
      <c r="F101" t="inlineStr">
        <is>
          <t>AS010</t>
        </is>
      </c>
    </row>
    <row r="102">
      <c r="A102" t="inlineStr">
        <is>
          <t>AS010-INTEREST</t>
        </is>
      </c>
      <c r="C102" t="inlineStr">
        <is>
          <t>INTEREST</t>
        </is>
      </c>
      <c r="D102" t="n">
        <v>91.12</v>
      </c>
      <c r="E102" t="inlineStr">
        <is>
          <t>AUD</t>
        </is>
      </c>
      <c r="F102" t="inlineStr">
        <is>
          <t>AS010</t>
        </is>
      </c>
    </row>
    <row r="103">
      <c r="A103" t="inlineStr">
        <is>
          <t>AS010-UNFRANKED_DISTRIBUTION</t>
        </is>
      </c>
      <c r="C103" t="inlineStr">
        <is>
          <t>UNFRANKED_DISTRIBUTION</t>
        </is>
      </c>
      <c r="D103" t="n">
        <v>18.22</v>
      </c>
      <c r="E103" t="inlineStr">
        <is>
          <t>AUD</t>
        </is>
      </c>
      <c r="F103" t="inlineStr">
        <is>
          <t>AS010</t>
        </is>
      </c>
    </row>
    <row r="104">
      <c r="A104" t="inlineStr">
        <is>
          <t>AS010-FOREIGN_INCOME_TAX_OFFSET</t>
        </is>
      </c>
      <c r="C104" t="inlineStr">
        <is>
          <t>FOREIGN_INCOME_TAX_OFFSET</t>
        </is>
      </c>
      <c r="D104" t="n">
        <v>171.31</v>
      </c>
      <c r="E104" t="inlineStr">
        <is>
          <t>AUD</t>
        </is>
      </c>
      <c r="F104" t="inlineStr">
        <is>
          <t>AS010</t>
        </is>
      </c>
    </row>
    <row r="105">
      <c r="A105" t="inlineStr">
        <is>
          <t>AS010-COSTBASE_INCREASE</t>
        </is>
      </c>
      <c r="C105" t="inlineStr">
        <is>
          <t>COSTBASE_INCREASE</t>
        </is>
      </c>
      <c r="D105" t="n">
        <v>167.97</v>
      </c>
      <c r="E105" t="inlineStr">
        <is>
          <t>AUD</t>
        </is>
      </c>
      <c r="F105" t="inlineStr">
        <is>
          <t>AS010</t>
        </is>
      </c>
    </row>
    <row r="106">
      <c r="A106" t="inlineStr">
        <is>
          <t>AS011-DISCOUNTED_TAP</t>
        </is>
      </c>
      <c r="C106" t="inlineStr">
        <is>
          <t>DISCOUNTED_TAP</t>
        </is>
      </c>
      <c r="D106" t="n">
        <v>6.4</v>
      </c>
      <c r="E106" t="inlineStr">
        <is>
          <t>AUD</t>
        </is>
      </c>
      <c r="F106" t="inlineStr">
        <is>
          <t>AS011</t>
        </is>
      </c>
    </row>
    <row r="107">
      <c r="A107" t="inlineStr">
        <is>
          <t>AS011-DISCOUNTED_NTAP</t>
        </is>
      </c>
      <c r="C107" t="inlineStr">
        <is>
          <t>DISCOUNTED_NTAP</t>
        </is>
      </c>
      <c r="D107" t="n">
        <v>110.27</v>
      </c>
      <c r="E107" t="inlineStr">
        <is>
          <t>AUD</t>
        </is>
      </c>
      <c r="F107" t="inlineStr">
        <is>
          <t>AS011</t>
        </is>
      </c>
    </row>
    <row r="108">
      <c r="A108" t="inlineStr">
        <is>
          <t>AS011-OTHER_NTAP</t>
        </is>
      </c>
      <c r="C108" t="inlineStr">
        <is>
          <t>OTHER_NTAP</t>
        </is>
      </c>
      <c r="D108" t="n">
        <v>48.72</v>
      </c>
      <c r="E108" t="inlineStr">
        <is>
          <t>AUD</t>
        </is>
      </c>
      <c r="F108" t="inlineStr">
        <is>
          <t>AS011</t>
        </is>
      </c>
    </row>
    <row r="109">
      <c r="A109" t="inlineStr">
        <is>
          <t>AS011-AMIT_GROSS_UP</t>
        </is>
      </c>
      <c r="C109" t="inlineStr">
        <is>
          <t>AMIT_GROSS_UP</t>
        </is>
      </c>
      <c r="D109" t="n">
        <v>116.67</v>
      </c>
      <c r="E109" t="inlineStr">
        <is>
          <t>AUD</t>
        </is>
      </c>
      <c r="F109" t="inlineStr">
        <is>
          <t>AS011</t>
        </is>
      </c>
    </row>
    <row r="110">
      <c r="A110" t="inlineStr">
        <is>
          <t>AS011-TOTAL_CY_CG</t>
        </is>
      </c>
      <c r="C110" t="inlineStr">
        <is>
          <t>TOTAL_CY_CG</t>
        </is>
      </c>
      <c r="D110" t="n">
        <v>282.06</v>
      </c>
      <c r="E110" t="inlineStr">
        <is>
          <t>AUD</t>
        </is>
      </c>
      <c r="F110" t="inlineStr">
        <is>
          <t>AS011</t>
        </is>
      </c>
    </row>
    <row r="111">
      <c r="A111" t="inlineStr">
        <is>
          <t>AS011-FRANKED_DISTRIBUTION</t>
        </is>
      </c>
      <c r="C111" t="inlineStr">
        <is>
          <t>FRANKED_DISTRIBUTION</t>
        </is>
      </c>
      <c r="D111" t="n">
        <v>883.76</v>
      </c>
      <c r="E111" t="inlineStr">
        <is>
          <t>AUD</t>
        </is>
      </c>
      <c r="F111" t="inlineStr">
        <is>
          <t>AS011</t>
        </is>
      </c>
    </row>
    <row r="112">
      <c r="A112" t="inlineStr">
        <is>
          <t>AS011-UNFRANKED_DISTRIBUTION</t>
        </is>
      </c>
      <c r="C112" t="inlineStr">
        <is>
          <t>UNFRANKED_DISTRIBUTION</t>
        </is>
      </c>
      <c r="D112" t="n">
        <v>132.56</v>
      </c>
      <c r="E112" t="inlineStr">
        <is>
          <t>AUD</t>
        </is>
      </c>
      <c r="F112" t="inlineStr">
        <is>
          <t>AS011</t>
        </is>
      </c>
    </row>
    <row r="113">
      <c r="A113" t="inlineStr">
        <is>
          <t>AS011-FOREIGN_SOURCE_INCOME</t>
        </is>
      </c>
      <c r="C113" t="inlineStr">
        <is>
          <t>FOREIGN_SOURCE_INCOME</t>
        </is>
      </c>
      <c r="D113" t="n">
        <v>66.28</v>
      </c>
      <c r="E113" t="inlineStr">
        <is>
          <t>AUD</t>
        </is>
      </c>
      <c r="F113" t="inlineStr">
        <is>
          <t>AS011</t>
        </is>
      </c>
    </row>
    <row r="114">
      <c r="A114" t="inlineStr">
        <is>
          <t>AS011-INTEREST</t>
        </is>
      </c>
      <c r="C114" t="inlineStr">
        <is>
          <t>INTEREST</t>
        </is>
      </c>
      <c r="D114" t="n">
        <v>22.09</v>
      </c>
      <c r="E114" t="inlineStr">
        <is>
          <t>AUD</t>
        </is>
      </c>
      <c r="F114" t="inlineStr">
        <is>
          <t>AS011</t>
        </is>
      </c>
    </row>
    <row r="115">
      <c r="A115" t="inlineStr">
        <is>
          <t>AS011-FRANKING_CREDIT</t>
        </is>
      </c>
      <c r="C115" t="inlineStr">
        <is>
          <t>FRANKING_CREDIT</t>
        </is>
      </c>
      <c r="D115" t="n">
        <v>378.75</v>
      </c>
      <c r="E115" t="inlineStr">
        <is>
          <t>AUD</t>
        </is>
      </c>
      <c r="F115" t="inlineStr">
        <is>
          <t>AS011</t>
        </is>
      </c>
    </row>
    <row r="116">
      <c r="A116" t="inlineStr">
        <is>
          <t>AS011-FOREIGN_INCOME_TAX_OFFSET</t>
        </is>
      </c>
      <c r="C116" t="inlineStr">
        <is>
          <t>FOREIGN_INCOME_TAX_OFFSET</t>
        </is>
      </c>
      <c r="D116" t="n">
        <v>6.63</v>
      </c>
      <c r="E116" t="inlineStr">
        <is>
          <t>AUD</t>
        </is>
      </c>
      <c r="F116" t="inlineStr">
        <is>
          <t>AS011</t>
        </is>
      </c>
    </row>
    <row r="117">
      <c r="A117" t="inlineStr">
        <is>
          <t>AS011-COSTBASE_INCREASE</t>
        </is>
      </c>
      <c r="C117" t="inlineStr">
        <is>
          <t>COSTBASE_INCREASE</t>
        </is>
      </c>
      <c r="D117" t="n">
        <v>48.94</v>
      </c>
      <c r="E117" t="inlineStr">
        <is>
          <t>AUD</t>
        </is>
      </c>
      <c r="F117" t="inlineStr">
        <is>
          <t>AS011</t>
        </is>
      </c>
    </row>
    <row r="118">
      <c r="A118" t="inlineStr">
        <is>
          <t>AS012-DISCOUNTED_NTAP</t>
        </is>
      </c>
      <c r="C118" t="inlineStr">
        <is>
          <t>DISCOUNTED_NTAP</t>
        </is>
      </c>
      <c r="D118" t="n">
        <v>222.53</v>
      </c>
      <c r="E118" t="inlineStr">
        <is>
          <t>AUD</t>
        </is>
      </c>
      <c r="F118" t="inlineStr">
        <is>
          <t>AS012</t>
        </is>
      </c>
    </row>
    <row r="119">
      <c r="A119" t="inlineStr">
        <is>
          <t>AS012-OTHER_NTAP</t>
        </is>
      </c>
      <c r="C119" t="inlineStr">
        <is>
          <t>OTHER_NTAP</t>
        </is>
      </c>
      <c r="D119" t="n">
        <v>15.32</v>
      </c>
      <c r="E119" t="inlineStr">
        <is>
          <t>AUD</t>
        </is>
      </c>
      <c r="F119" t="inlineStr">
        <is>
          <t>AS012</t>
        </is>
      </c>
    </row>
    <row r="120">
      <c r="A120" t="inlineStr">
        <is>
          <t>AS012-AMIT_GROSS_UP</t>
        </is>
      </c>
      <c r="C120" t="inlineStr">
        <is>
          <t>AMIT_GROSS_UP</t>
        </is>
      </c>
      <c r="D120" t="n">
        <v>222.53</v>
      </c>
      <c r="E120" t="inlineStr">
        <is>
          <t>AUD</t>
        </is>
      </c>
      <c r="F120" t="inlineStr">
        <is>
          <t>AS012</t>
        </is>
      </c>
    </row>
    <row r="121">
      <c r="A121" t="inlineStr">
        <is>
          <t>AS012-TOTAL_CY_CG</t>
        </is>
      </c>
      <c r="C121" t="inlineStr">
        <is>
          <t>TOTAL_CY_CG</t>
        </is>
      </c>
      <c r="D121" t="n">
        <v>460.38</v>
      </c>
      <c r="E121" t="inlineStr">
        <is>
          <t>AUD</t>
        </is>
      </c>
      <c r="F121" t="inlineStr">
        <is>
          <t>AS012</t>
        </is>
      </c>
    </row>
    <row r="122">
      <c r="A122" t="inlineStr">
        <is>
          <t>AS012-FOREIGN_SOURCE_INCOME</t>
        </is>
      </c>
      <c r="C122" t="inlineStr">
        <is>
          <t>FOREIGN_SOURCE_INCOME</t>
        </is>
      </c>
      <c r="D122" t="n">
        <v>1499.98</v>
      </c>
      <c r="E122" t="inlineStr">
        <is>
          <t>AUD</t>
        </is>
      </c>
      <c r="F122" t="inlineStr">
        <is>
          <t>AS012</t>
        </is>
      </c>
    </row>
    <row r="123">
      <c r="A123" t="inlineStr">
        <is>
          <t>AS012-INTEREST</t>
        </is>
      </c>
      <c r="C123" t="inlineStr">
        <is>
          <t>INTEREST</t>
        </is>
      </c>
      <c r="D123" t="n">
        <v>79.79000000000001</v>
      </c>
      <c r="E123" t="inlineStr">
        <is>
          <t>AUD</t>
        </is>
      </c>
      <c r="F123" t="inlineStr">
        <is>
          <t>AS012</t>
        </is>
      </c>
    </row>
    <row r="124">
      <c r="A124" t="inlineStr">
        <is>
          <t>AS012-UNFRANKED_DISTRIBUTION</t>
        </is>
      </c>
      <c r="C124" t="inlineStr">
        <is>
          <t>UNFRANKED_DISTRIBUTION</t>
        </is>
      </c>
      <c r="D124" t="n">
        <v>15.96</v>
      </c>
      <c r="E124" t="inlineStr">
        <is>
          <t>AUD</t>
        </is>
      </c>
      <c r="F124" t="inlineStr">
        <is>
          <t>AS012</t>
        </is>
      </c>
    </row>
    <row r="125">
      <c r="A125" t="inlineStr">
        <is>
          <t>AS012-FOREIGN_INCOME_TAX_OFFSET</t>
        </is>
      </c>
      <c r="C125" t="inlineStr">
        <is>
          <t>FOREIGN_INCOME_TAX_OFFSET</t>
        </is>
      </c>
      <c r="D125" t="n">
        <v>150</v>
      </c>
      <c r="E125" t="inlineStr">
        <is>
          <t>AUD</t>
        </is>
      </c>
      <c r="F125" t="inlineStr">
        <is>
          <t>AS012</t>
        </is>
      </c>
    </row>
    <row r="126">
      <c r="A126" t="inlineStr">
        <is>
          <t>AS012-COSTBASE_INCREASE</t>
        </is>
      </c>
      <c r="C126" t="inlineStr">
        <is>
          <t>COSTBASE_INCREASE</t>
        </is>
      </c>
      <c r="D126" t="n">
        <v>99.95999999999999</v>
      </c>
      <c r="E126" t="inlineStr">
        <is>
          <t>AUD</t>
        </is>
      </c>
      <c r="F126" t="inlineStr">
        <is>
          <t>AS012</t>
        </is>
      </c>
    </row>
    <row r="127">
      <c r="A127" t="inlineStr">
        <is>
          <t>AS013-DISCOUNTED_TAP</t>
        </is>
      </c>
      <c r="C127" t="inlineStr">
        <is>
          <t>DISCOUNTED_TAP</t>
        </is>
      </c>
      <c r="D127" t="n">
        <v>11.55</v>
      </c>
      <c r="E127" t="inlineStr">
        <is>
          <t>AUD</t>
        </is>
      </c>
      <c r="F127" t="inlineStr">
        <is>
          <t>AS013</t>
        </is>
      </c>
    </row>
    <row r="128">
      <c r="A128" t="inlineStr">
        <is>
          <t>AS013-DISCOUNTED_NTAP</t>
        </is>
      </c>
      <c r="C128" t="inlineStr">
        <is>
          <t>DISCOUNTED_NTAP</t>
        </is>
      </c>
      <c r="D128" t="n">
        <v>197.74</v>
      </c>
      <c r="E128" t="inlineStr">
        <is>
          <t>AUD</t>
        </is>
      </c>
      <c r="F128" t="inlineStr">
        <is>
          <t>AS013</t>
        </is>
      </c>
    </row>
    <row r="129">
      <c r="A129" t="inlineStr">
        <is>
          <t>AS013-OTHER_NTAP</t>
        </is>
      </c>
      <c r="C129" t="inlineStr">
        <is>
          <t>OTHER_NTAP</t>
        </is>
      </c>
      <c r="D129" t="n">
        <v>80.42</v>
      </c>
      <c r="E129" t="inlineStr">
        <is>
          <t>AUD</t>
        </is>
      </c>
      <c r="F129" t="inlineStr">
        <is>
          <t>AS013</t>
        </is>
      </c>
    </row>
    <row r="130">
      <c r="A130" t="inlineStr">
        <is>
          <t>AS013-AMIT_GROSS_UP</t>
        </is>
      </c>
      <c r="C130" t="inlineStr">
        <is>
          <t>AMIT_GROSS_UP</t>
        </is>
      </c>
      <c r="D130" t="n">
        <v>209.29</v>
      </c>
      <c r="E130" t="inlineStr">
        <is>
          <t>AUD</t>
        </is>
      </c>
      <c r="F130" t="inlineStr">
        <is>
          <t>AS013</t>
        </is>
      </c>
    </row>
    <row r="131">
      <c r="A131" t="inlineStr">
        <is>
          <t>AS013-TOTAL_CY_CG</t>
        </is>
      </c>
      <c r="C131" t="inlineStr">
        <is>
          <t>TOTAL_CY_CG</t>
        </is>
      </c>
      <c r="D131" t="n">
        <v>499</v>
      </c>
      <c r="E131" t="inlineStr">
        <is>
          <t>AUD</t>
        </is>
      </c>
      <c r="F131" t="inlineStr">
        <is>
          <t>AS013</t>
        </is>
      </c>
    </row>
    <row r="132">
      <c r="A132" t="inlineStr">
        <is>
          <t>AS013-FRANKED_DISTRIBUTION</t>
        </is>
      </c>
      <c r="C132" t="inlineStr">
        <is>
          <t>FRANKED_DISTRIBUTION</t>
        </is>
      </c>
      <c r="D132" t="n">
        <v>2056.68</v>
      </c>
      <c r="E132" t="inlineStr">
        <is>
          <t>AUD</t>
        </is>
      </c>
      <c r="F132" t="inlineStr">
        <is>
          <t>AS013</t>
        </is>
      </c>
    </row>
    <row r="133">
      <c r="A133" t="inlineStr">
        <is>
          <t>AS013-UNFRANKED_DISTRIBUTION</t>
        </is>
      </c>
      <c r="C133" t="inlineStr">
        <is>
          <t>UNFRANKED_DISTRIBUTION</t>
        </is>
      </c>
      <c r="D133" t="n">
        <v>308.5</v>
      </c>
      <c r="E133" t="inlineStr">
        <is>
          <t>AUD</t>
        </is>
      </c>
      <c r="F133" t="inlineStr">
        <is>
          <t>AS013</t>
        </is>
      </c>
    </row>
    <row r="134">
      <c r="A134" t="inlineStr">
        <is>
          <t>AS013-FOREIGN_SOURCE_INCOME</t>
        </is>
      </c>
      <c r="C134" t="inlineStr">
        <is>
          <t>FOREIGN_SOURCE_INCOME</t>
        </is>
      </c>
      <c r="D134" t="n">
        <v>154.25</v>
      </c>
      <c r="E134" t="inlineStr">
        <is>
          <t>AUD</t>
        </is>
      </c>
      <c r="F134" t="inlineStr">
        <is>
          <t>AS013</t>
        </is>
      </c>
    </row>
    <row r="135">
      <c r="A135" t="inlineStr">
        <is>
          <t>AS013-INTEREST</t>
        </is>
      </c>
      <c r="C135" t="inlineStr">
        <is>
          <t>INTEREST</t>
        </is>
      </c>
      <c r="D135" t="n">
        <v>51.42</v>
      </c>
      <c r="E135" t="inlineStr">
        <is>
          <t>AUD</t>
        </is>
      </c>
      <c r="F135" t="inlineStr">
        <is>
          <t>AS013</t>
        </is>
      </c>
    </row>
    <row r="136">
      <c r="A136" t="inlineStr">
        <is>
          <t>AS013-FRANKING_CREDIT</t>
        </is>
      </c>
      <c r="C136" t="inlineStr">
        <is>
          <t>FRANKING_CREDIT</t>
        </is>
      </c>
      <c r="D136" t="n">
        <v>881.4299999999999</v>
      </c>
      <c r="E136" t="inlineStr">
        <is>
          <t>AUD</t>
        </is>
      </c>
      <c r="F136" t="inlineStr">
        <is>
          <t>AS013</t>
        </is>
      </c>
    </row>
    <row r="137">
      <c r="A137" t="inlineStr">
        <is>
          <t>AS013-FOREIGN_INCOME_TAX_OFFSET</t>
        </is>
      </c>
      <c r="C137" t="inlineStr">
        <is>
          <t>FOREIGN_INCOME_TAX_OFFSET</t>
        </is>
      </c>
      <c r="D137" t="n">
        <v>15.43</v>
      </c>
      <c r="E137" t="inlineStr">
        <is>
          <t>AUD</t>
        </is>
      </c>
      <c r="F137" t="inlineStr">
        <is>
          <t>AS013</t>
        </is>
      </c>
    </row>
    <row r="138">
      <c r="A138" t="inlineStr">
        <is>
          <t>AS013-COSTBASE_INCREASE</t>
        </is>
      </c>
      <c r="C138" t="inlineStr">
        <is>
          <t>COSTBASE_INCREASE</t>
        </is>
      </c>
      <c r="D138" t="n">
        <v>147.91</v>
      </c>
      <c r="E138" t="inlineStr">
        <is>
          <t>AUD</t>
        </is>
      </c>
      <c r="F138" t="inlineStr">
        <is>
          <t>AS013</t>
        </is>
      </c>
    </row>
    <row r="139">
      <c r="A139" t="inlineStr">
        <is>
          <t>AS014-DISCOUNTED_NTAP</t>
        </is>
      </c>
      <c r="C139" t="inlineStr">
        <is>
          <t>DISCOUNTED_NTAP</t>
        </is>
      </c>
      <c r="D139" t="n">
        <v>174.24</v>
      </c>
      <c r="E139" t="inlineStr">
        <is>
          <t>AUD</t>
        </is>
      </c>
      <c r="F139" t="inlineStr">
        <is>
          <t>AS014</t>
        </is>
      </c>
    </row>
    <row r="140">
      <c r="A140" t="inlineStr">
        <is>
          <t>AS014-OTHER_NTAP</t>
        </is>
      </c>
      <c r="C140" t="inlineStr">
        <is>
          <t>OTHER_NTAP</t>
        </is>
      </c>
      <c r="D140" t="n">
        <v>67.15000000000001</v>
      </c>
      <c r="E140" t="inlineStr">
        <is>
          <t>AUD</t>
        </is>
      </c>
      <c r="F140" t="inlineStr">
        <is>
          <t>AS014</t>
        </is>
      </c>
    </row>
    <row r="141">
      <c r="A141" t="inlineStr">
        <is>
          <t>AS014-AMIT_GROSS_UP</t>
        </is>
      </c>
      <c r="C141" t="inlineStr">
        <is>
          <t>AMIT_GROSS_UP</t>
        </is>
      </c>
      <c r="D141" t="n">
        <v>174.24</v>
      </c>
      <c r="E141" t="inlineStr">
        <is>
          <t>AUD</t>
        </is>
      </c>
      <c r="F141" t="inlineStr">
        <is>
          <t>AS014</t>
        </is>
      </c>
    </row>
    <row r="142">
      <c r="A142" t="inlineStr">
        <is>
          <t>AS014-TOTAL_CY_CG</t>
        </is>
      </c>
      <c r="C142" t="inlineStr">
        <is>
          <t>TOTAL_CY_CG</t>
        </is>
      </c>
      <c r="D142" t="n">
        <v>415.63</v>
      </c>
      <c r="E142" t="inlineStr">
        <is>
          <t>AUD</t>
        </is>
      </c>
      <c r="F142" t="inlineStr">
        <is>
          <t>AS014</t>
        </is>
      </c>
    </row>
    <row r="143">
      <c r="A143" t="inlineStr">
        <is>
          <t>AS014-FOREIGN_SOURCE_INCOME</t>
        </is>
      </c>
      <c r="C143" t="inlineStr">
        <is>
          <t>FOREIGN_SOURCE_INCOME</t>
        </is>
      </c>
      <c r="D143" t="n">
        <v>2371.23</v>
      </c>
      <c r="E143" t="inlineStr">
        <is>
          <t>AUD</t>
        </is>
      </c>
      <c r="F143" t="inlineStr">
        <is>
          <t>AS014</t>
        </is>
      </c>
    </row>
    <row r="144">
      <c r="A144" t="inlineStr">
        <is>
          <t>AS014-INTEREST</t>
        </is>
      </c>
      <c r="C144" t="inlineStr">
        <is>
          <t>INTEREST</t>
        </is>
      </c>
      <c r="D144" t="n">
        <v>126.13</v>
      </c>
      <c r="E144" t="inlineStr">
        <is>
          <t>AUD</t>
        </is>
      </c>
      <c r="F144" t="inlineStr">
        <is>
          <t>AS014</t>
        </is>
      </c>
    </row>
    <row r="145">
      <c r="A145" t="inlineStr">
        <is>
          <t>AS014-UNFRANKED_DISTRIBUTION</t>
        </is>
      </c>
      <c r="C145" t="inlineStr">
        <is>
          <t>UNFRANKED_DISTRIBUTION</t>
        </is>
      </c>
      <c r="D145" t="n">
        <v>25.23</v>
      </c>
      <c r="E145" t="inlineStr">
        <is>
          <t>AUD</t>
        </is>
      </c>
      <c r="F145" t="inlineStr">
        <is>
          <t>AS014</t>
        </is>
      </c>
    </row>
    <row r="146">
      <c r="A146" t="inlineStr">
        <is>
          <t>AS014-FOREIGN_INCOME_TAX_OFFSET</t>
        </is>
      </c>
      <c r="C146" t="inlineStr">
        <is>
          <t>FOREIGN_INCOME_TAX_OFFSET</t>
        </is>
      </c>
      <c r="D146" t="n">
        <v>237.12</v>
      </c>
      <c r="E146" t="inlineStr">
        <is>
          <t>AUD</t>
        </is>
      </c>
      <c r="F146" t="inlineStr">
        <is>
          <t>AS014</t>
        </is>
      </c>
    </row>
    <row r="147">
      <c r="A147" t="inlineStr">
        <is>
          <t>AS014-COSTBASE_INCREASE</t>
        </is>
      </c>
      <c r="C147" t="inlineStr">
        <is>
          <t>COSTBASE_INCREASE</t>
        </is>
      </c>
      <c r="D147" t="n">
        <v>189.54</v>
      </c>
      <c r="E147" t="inlineStr">
        <is>
          <t>AUD</t>
        </is>
      </c>
      <c r="F147" t="inlineStr">
        <is>
          <t>AS014</t>
        </is>
      </c>
    </row>
    <row r="148">
      <c r="A148" t="inlineStr">
        <is>
          <t>AS015-DISCOUNTED_TAP</t>
        </is>
      </c>
      <c r="C148" t="inlineStr">
        <is>
          <t>DISCOUNTED_TAP</t>
        </is>
      </c>
      <c r="D148" t="n">
        <v>39.27</v>
      </c>
      <c r="E148" t="inlineStr">
        <is>
          <t>AUD</t>
        </is>
      </c>
      <c r="F148" t="inlineStr">
        <is>
          <t>AS015</t>
        </is>
      </c>
    </row>
    <row r="149">
      <c r="A149" t="inlineStr">
        <is>
          <t>AS015-DISCOUNTED_NTAP</t>
        </is>
      </c>
      <c r="C149" t="inlineStr">
        <is>
          <t>DISCOUNTED_NTAP</t>
        </is>
      </c>
      <c r="D149" t="n">
        <v>460.39</v>
      </c>
      <c r="E149" t="inlineStr">
        <is>
          <t>AUD</t>
        </is>
      </c>
      <c r="F149" t="inlineStr">
        <is>
          <t>AS015</t>
        </is>
      </c>
    </row>
    <row r="150">
      <c r="A150" t="inlineStr">
        <is>
          <t>AS015-OTHER_NTAP</t>
        </is>
      </c>
      <c r="C150" t="inlineStr">
        <is>
          <t>OTHER_NTAP</t>
        </is>
      </c>
      <c r="D150" t="n">
        <v>90.67</v>
      </c>
      <c r="E150" t="inlineStr">
        <is>
          <t>AUD</t>
        </is>
      </c>
      <c r="F150" t="inlineStr">
        <is>
          <t>AS015</t>
        </is>
      </c>
    </row>
    <row r="151">
      <c r="A151" t="inlineStr">
        <is>
          <t>AS015-AMIT_GROSS_UP</t>
        </is>
      </c>
      <c r="C151" t="inlineStr">
        <is>
          <t>AMIT_GROSS_UP</t>
        </is>
      </c>
      <c r="D151" t="n">
        <v>499.66</v>
      </c>
      <c r="E151" t="inlineStr">
        <is>
          <t>AUD</t>
        </is>
      </c>
      <c r="F151" t="inlineStr">
        <is>
          <t>AS015</t>
        </is>
      </c>
    </row>
    <row r="152">
      <c r="A152" t="inlineStr">
        <is>
          <t>AS015-TOTAL_CY_CG</t>
        </is>
      </c>
      <c r="C152" t="inlineStr">
        <is>
          <t>TOTAL_CY_CG</t>
        </is>
      </c>
      <c r="D152" t="n">
        <v>1089.99</v>
      </c>
      <c r="E152" t="inlineStr">
        <is>
          <t>AUD</t>
        </is>
      </c>
      <c r="F152" t="inlineStr">
        <is>
          <t>AS015</t>
        </is>
      </c>
    </row>
    <row r="153">
      <c r="A153" t="inlineStr">
        <is>
          <t>AS015-FRANKED_DISTRIBUTION</t>
        </is>
      </c>
      <c r="C153" t="inlineStr">
        <is>
          <t>FRANKED_DISTRIBUTION</t>
        </is>
      </c>
      <c r="D153" t="n">
        <v>3259.87</v>
      </c>
      <c r="E153" t="inlineStr">
        <is>
          <t>AUD</t>
        </is>
      </c>
      <c r="F153" t="inlineStr">
        <is>
          <t>AS015</t>
        </is>
      </c>
    </row>
    <row r="154">
      <c r="A154" t="inlineStr">
        <is>
          <t>AS015-UNFRANKED_DISTRIBUTION</t>
        </is>
      </c>
      <c r="C154" t="inlineStr">
        <is>
          <t>UNFRANKED_DISTRIBUTION</t>
        </is>
      </c>
      <c r="D154" t="n">
        <v>488.98</v>
      </c>
      <c r="E154" t="inlineStr">
        <is>
          <t>AUD</t>
        </is>
      </c>
      <c r="F154" t="inlineStr">
        <is>
          <t>AS015</t>
        </is>
      </c>
    </row>
    <row r="155">
      <c r="A155" t="inlineStr">
        <is>
          <t>AS015-FOREIGN_SOURCE_INCOME</t>
        </is>
      </c>
      <c r="C155" t="inlineStr">
        <is>
          <t>FOREIGN_SOURCE_INCOME</t>
        </is>
      </c>
      <c r="D155" t="n">
        <v>244.49</v>
      </c>
      <c r="E155" t="inlineStr">
        <is>
          <t>AUD</t>
        </is>
      </c>
      <c r="F155" t="inlineStr">
        <is>
          <t>AS015</t>
        </is>
      </c>
    </row>
    <row r="156">
      <c r="A156" t="inlineStr">
        <is>
          <t>AS015-INTEREST</t>
        </is>
      </c>
      <c r="C156" t="inlineStr">
        <is>
          <t>INTEREST</t>
        </is>
      </c>
      <c r="D156" t="n">
        <v>81.5</v>
      </c>
      <c r="E156" t="inlineStr">
        <is>
          <t>AUD</t>
        </is>
      </c>
      <c r="F156" t="inlineStr">
        <is>
          <t>AS015</t>
        </is>
      </c>
    </row>
    <row r="157">
      <c r="A157" t="inlineStr">
        <is>
          <t>AS015-FRANKING_CREDIT</t>
        </is>
      </c>
      <c r="C157" t="inlineStr">
        <is>
          <t>FRANKING_CREDIT</t>
        </is>
      </c>
      <c r="D157" t="n">
        <v>1397.09</v>
      </c>
      <c r="E157" t="inlineStr">
        <is>
          <t>AUD</t>
        </is>
      </c>
      <c r="F157" t="inlineStr">
        <is>
          <t>AS015</t>
        </is>
      </c>
    </row>
    <row r="158">
      <c r="A158" t="inlineStr">
        <is>
          <t>AS015-FOREIGN_INCOME_TAX_OFFSET</t>
        </is>
      </c>
      <c r="C158" t="inlineStr">
        <is>
          <t>FOREIGN_INCOME_TAX_OFFSET</t>
        </is>
      </c>
      <c r="D158" t="n">
        <v>24.45</v>
      </c>
      <c r="E158" t="inlineStr">
        <is>
          <t>AUD</t>
        </is>
      </c>
      <c r="F158" t="inlineStr">
        <is>
          <t>AS015</t>
        </is>
      </c>
    </row>
    <row r="159">
      <c r="A159" t="inlineStr">
        <is>
          <t>AS015-COSTBASE_DECREASE</t>
        </is>
      </c>
      <c r="C159" t="inlineStr">
        <is>
          <t>COSTBASE_DECREASE</t>
        </is>
      </c>
      <c r="D159" t="n">
        <v>416.72</v>
      </c>
      <c r="E159" t="inlineStr">
        <is>
          <t>AUD</t>
        </is>
      </c>
      <c r="F159" t="inlineStr">
        <is>
          <t>AS015</t>
        </is>
      </c>
    </row>
    <row r="160">
      <c r="A160" t="inlineStr">
        <is>
          <t>AS016-DISCOUNTED_NTAP</t>
        </is>
      </c>
      <c r="C160" t="inlineStr">
        <is>
          <t>DISCOUNTED_NTAP</t>
        </is>
      </c>
      <c r="D160" t="n">
        <v>54.29</v>
      </c>
      <c r="E160" t="inlineStr">
        <is>
          <t>AUD</t>
        </is>
      </c>
      <c r="F160" t="inlineStr">
        <is>
          <t>AS016</t>
        </is>
      </c>
    </row>
    <row r="161">
      <c r="A161" t="inlineStr">
        <is>
          <t>AS016-OTHER_NTAP</t>
        </is>
      </c>
      <c r="C161" t="inlineStr">
        <is>
          <t>OTHER_NTAP</t>
        </is>
      </c>
      <c r="D161" t="n">
        <v>19.21</v>
      </c>
      <c r="E161" t="inlineStr">
        <is>
          <t>AUD</t>
        </is>
      </c>
      <c r="F161" t="inlineStr">
        <is>
          <t>AS016</t>
        </is>
      </c>
    </row>
    <row r="162">
      <c r="A162" t="inlineStr">
        <is>
          <t>AS016-AMIT_GROSS_UP</t>
        </is>
      </c>
      <c r="C162" t="inlineStr">
        <is>
          <t>AMIT_GROSS_UP</t>
        </is>
      </c>
      <c r="D162" t="n">
        <v>54.29</v>
      </c>
      <c r="E162" t="inlineStr">
        <is>
          <t>AUD</t>
        </is>
      </c>
      <c r="F162" t="inlineStr">
        <is>
          <t>AS016</t>
        </is>
      </c>
    </row>
    <row r="163">
      <c r="A163" t="inlineStr">
        <is>
          <t>AS016-TOTAL_CY_CG</t>
        </is>
      </c>
      <c r="C163" t="inlineStr">
        <is>
          <t>TOTAL_CY_CG</t>
        </is>
      </c>
      <c r="D163" t="n">
        <v>127.79</v>
      </c>
      <c r="E163" t="inlineStr">
        <is>
          <t>AUD</t>
        </is>
      </c>
      <c r="F163" t="inlineStr">
        <is>
          <t>AS016</t>
        </is>
      </c>
    </row>
    <row r="164">
      <c r="A164" t="inlineStr">
        <is>
          <t>AS016-FOREIGN_SOURCE_INCOME</t>
        </is>
      </c>
      <c r="C164" t="inlineStr">
        <is>
          <t>FOREIGN_SOURCE_INCOME</t>
        </is>
      </c>
      <c r="D164" t="n">
        <v>1874.64</v>
      </c>
      <c r="E164" t="inlineStr">
        <is>
          <t>AUD</t>
        </is>
      </c>
      <c r="F164" t="inlineStr">
        <is>
          <t>AS016</t>
        </is>
      </c>
    </row>
    <row r="165">
      <c r="A165" t="inlineStr">
        <is>
          <t>AS016-INTEREST</t>
        </is>
      </c>
      <c r="C165" t="inlineStr">
        <is>
          <t>INTEREST</t>
        </is>
      </c>
      <c r="D165" t="n">
        <v>99.70999999999999</v>
      </c>
      <c r="E165" t="inlineStr">
        <is>
          <t>AUD</t>
        </is>
      </c>
      <c r="F165" t="inlineStr">
        <is>
          <t>AS016</t>
        </is>
      </c>
    </row>
    <row r="166">
      <c r="A166" t="inlineStr">
        <is>
          <t>AS016-UNFRANKED_DISTRIBUTION</t>
        </is>
      </c>
      <c r="C166" t="inlineStr">
        <is>
          <t>UNFRANKED_DISTRIBUTION</t>
        </is>
      </c>
      <c r="D166" t="n">
        <v>19.94</v>
      </c>
      <c r="E166" t="inlineStr">
        <is>
          <t>AUD</t>
        </is>
      </c>
      <c r="F166" t="inlineStr">
        <is>
          <t>AS016</t>
        </is>
      </c>
    </row>
    <row r="167">
      <c r="A167" t="inlineStr">
        <is>
          <t>AS016-FOREIGN_INCOME_TAX_OFFSET</t>
        </is>
      </c>
      <c r="C167" t="inlineStr">
        <is>
          <t>FOREIGN_INCOME_TAX_OFFSET</t>
        </is>
      </c>
      <c r="D167" t="n">
        <v>187.46</v>
      </c>
      <c r="E167" t="inlineStr">
        <is>
          <t>AUD</t>
        </is>
      </c>
      <c r="F167" t="inlineStr">
        <is>
          <t>AS016</t>
        </is>
      </c>
    </row>
    <row r="168">
      <c r="A168" t="inlineStr">
        <is>
          <t>AS016-COSTBASE_DECREASE</t>
        </is>
      </c>
      <c r="C168" t="inlineStr">
        <is>
          <t>COSTBASE_DECREASE</t>
        </is>
      </c>
      <c r="D168" t="n">
        <v>89.95999999999999</v>
      </c>
      <c r="E168" t="inlineStr">
        <is>
          <t>AUD</t>
        </is>
      </c>
      <c r="F168" t="inlineStr">
        <is>
          <t>AS016</t>
        </is>
      </c>
    </row>
    <row r="169">
      <c r="A169" t="inlineStr">
        <is>
          <t>AS017-DISCOUNTED_TAP</t>
        </is>
      </c>
      <c r="C169" t="inlineStr">
        <is>
          <t>DISCOUNTED_TAP</t>
        </is>
      </c>
      <c r="D169" t="n">
        <v>8.140000000000001</v>
      </c>
      <c r="E169" t="inlineStr">
        <is>
          <t>AUD</t>
        </is>
      </c>
      <c r="F169" t="inlineStr">
        <is>
          <t>AS017</t>
        </is>
      </c>
    </row>
    <row r="170">
      <c r="A170" t="inlineStr">
        <is>
          <t>AS017-DISCOUNTED_NTAP</t>
        </is>
      </c>
      <c r="C170" t="inlineStr">
        <is>
          <t>DISCOUNTED_NTAP</t>
        </is>
      </c>
      <c r="D170" t="n">
        <v>222.23</v>
      </c>
      <c r="E170" t="inlineStr">
        <is>
          <t>AUD</t>
        </is>
      </c>
      <c r="F170" t="inlineStr">
        <is>
          <t>AS017</t>
        </is>
      </c>
    </row>
    <row r="171">
      <c r="A171" t="inlineStr">
        <is>
          <t>AS017-OTHER_NTAP</t>
        </is>
      </c>
      <c r="C171" t="inlineStr">
        <is>
          <t>OTHER_NTAP</t>
        </is>
      </c>
      <c r="D171" t="n">
        <v>37.27</v>
      </c>
      <c r="E171" t="inlineStr">
        <is>
          <t>AUD</t>
        </is>
      </c>
      <c r="F171" t="inlineStr">
        <is>
          <t>AS017</t>
        </is>
      </c>
    </row>
    <row r="172">
      <c r="A172" t="inlineStr">
        <is>
          <t>AS017-AMIT_GROSS_UP</t>
        </is>
      </c>
      <c r="C172" t="inlineStr">
        <is>
          <t>AMIT_GROSS_UP</t>
        </is>
      </c>
      <c r="D172" t="n">
        <v>230.37</v>
      </c>
      <c r="E172" t="inlineStr">
        <is>
          <t>AUD</t>
        </is>
      </c>
      <c r="F172" t="inlineStr">
        <is>
          <t>AS017</t>
        </is>
      </c>
    </row>
    <row r="173">
      <c r="A173" t="inlineStr">
        <is>
          <t>AS017-TOTAL_CY_CG</t>
        </is>
      </c>
      <c r="C173" t="inlineStr">
        <is>
          <t>TOTAL_CY_CG</t>
        </is>
      </c>
      <c r="D173" t="n">
        <v>498.01</v>
      </c>
      <c r="E173" t="inlineStr">
        <is>
          <t>AUD</t>
        </is>
      </c>
      <c r="F173" t="inlineStr">
        <is>
          <t>AS017</t>
        </is>
      </c>
    </row>
    <row r="174">
      <c r="A174" t="inlineStr">
        <is>
          <t>AS017-FRANKED_DISTRIBUTION</t>
        </is>
      </c>
      <c r="C174" t="inlineStr">
        <is>
          <t>FRANKED_DISTRIBUTION</t>
        </is>
      </c>
      <c r="D174" t="n">
        <v>3459.16</v>
      </c>
      <c r="E174" t="inlineStr">
        <is>
          <t>AUD</t>
        </is>
      </c>
      <c r="F174" t="inlineStr">
        <is>
          <t>AS017</t>
        </is>
      </c>
    </row>
    <row r="175">
      <c r="A175" t="inlineStr">
        <is>
          <t>AS017-UNFRANKED_DISTRIBUTION</t>
        </is>
      </c>
      <c r="C175" t="inlineStr">
        <is>
          <t>UNFRANKED_DISTRIBUTION</t>
        </is>
      </c>
      <c r="D175" t="n">
        <v>518.87</v>
      </c>
      <c r="E175" t="inlineStr">
        <is>
          <t>AUD</t>
        </is>
      </c>
      <c r="F175" t="inlineStr">
        <is>
          <t>AS017</t>
        </is>
      </c>
    </row>
    <row r="176">
      <c r="A176" t="inlineStr">
        <is>
          <t>AS017-FOREIGN_SOURCE_INCOME</t>
        </is>
      </c>
      <c r="C176" t="inlineStr">
        <is>
          <t>FOREIGN_SOURCE_INCOME</t>
        </is>
      </c>
      <c r="D176" t="n">
        <v>259.44</v>
      </c>
      <c r="E176" t="inlineStr">
        <is>
          <t>AUD</t>
        </is>
      </c>
      <c r="F176" t="inlineStr">
        <is>
          <t>AS017</t>
        </is>
      </c>
    </row>
    <row r="177">
      <c r="A177" t="inlineStr">
        <is>
          <t>AS017-INTEREST</t>
        </is>
      </c>
      <c r="C177" t="inlineStr">
        <is>
          <t>INTEREST</t>
        </is>
      </c>
      <c r="D177" t="n">
        <v>86.48</v>
      </c>
      <c r="E177" t="inlineStr">
        <is>
          <t>AUD</t>
        </is>
      </c>
      <c r="F177" t="inlineStr">
        <is>
          <t>AS017</t>
        </is>
      </c>
    </row>
    <row r="178">
      <c r="A178" t="inlineStr">
        <is>
          <t>AS017-FRANKING_CREDIT</t>
        </is>
      </c>
      <c r="C178" t="inlineStr">
        <is>
          <t>FRANKING_CREDIT</t>
        </is>
      </c>
      <c r="D178" t="n">
        <v>1482.5</v>
      </c>
      <c r="E178" t="inlineStr">
        <is>
          <t>AUD</t>
        </is>
      </c>
      <c r="F178" t="inlineStr">
        <is>
          <t>AS017</t>
        </is>
      </c>
    </row>
    <row r="179">
      <c r="A179" t="inlineStr">
        <is>
          <t>AS017-FOREIGN_INCOME_TAX_OFFSET</t>
        </is>
      </c>
      <c r="C179" t="inlineStr">
        <is>
          <t>FOREIGN_INCOME_TAX_OFFSET</t>
        </is>
      </c>
      <c r="D179" t="n">
        <v>25.94</v>
      </c>
      <c r="E179" t="inlineStr">
        <is>
          <t>AUD</t>
        </is>
      </c>
      <c r="F179" t="inlineStr">
        <is>
          <t>AS017</t>
        </is>
      </c>
    </row>
    <row r="180">
      <c r="A180" t="inlineStr">
        <is>
          <t>AS017-COSTBASE_INCREASE</t>
        </is>
      </c>
      <c r="C180" t="inlineStr">
        <is>
          <t>COSTBASE_INCREASE</t>
        </is>
      </c>
      <c r="D180" t="n">
        <v>117.92</v>
      </c>
      <c r="E180" t="inlineStr">
        <is>
          <t>AUD</t>
        </is>
      </c>
      <c r="F180" t="inlineStr">
        <is>
          <t>AS017</t>
        </is>
      </c>
    </row>
    <row r="181">
      <c r="A181" t="inlineStr">
        <is>
          <t>AS018-DISCOUNTED_NTAP</t>
        </is>
      </c>
      <c r="C181" t="inlineStr">
        <is>
          <t>DISCOUNTED_NTAP</t>
        </is>
      </c>
      <c r="D181" t="n">
        <v>161.03</v>
      </c>
      <c r="E181" t="inlineStr">
        <is>
          <t>AUD</t>
        </is>
      </c>
      <c r="F181" t="inlineStr">
        <is>
          <t>AS018</t>
        </is>
      </c>
    </row>
    <row r="182">
      <c r="A182" t="inlineStr">
        <is>
          <t>AS018-OTHER_NTAP</t>
        </is>
      </c>
      <c r="C182" t="inlineStr">
        <is>
          <t>OTHER_NTAP</t>
        </is>
      </c>
      <c r="D182" t="n">
        <v>53.01</v>
      </c>
      <c r="E182" t="inlineStr">
        <is>
          <t>AUD</t>
        </is>
      </c>
      <c r="F182" t="inlineStr">
        <is>
          <t>AS018</t>
        </is>
      </c>
    </row>
    <row r="183">
      <c r="A183" t="inlineStr">
        <is>
          <t>AS018-AMIT_GROSS_UP</t>
        </is>
      </c>
      <c r="C183" t="inlineStr">
        <is>
          <t>AMIT_GROSS_UP</t>
        </is>
      </c>
      <c r="D183" t="n">
        <v>161.03</v>
      </c>
      <c r="E183" t="inlineStr">
        <is>
          <t>AUD</t>
        </is>
      </c>
      <c r="F183" t="inlineStr">
        <is>
          <t>AS018</t>
        </is>
      </c>
    </row>
    <row r="184">
      <c r="A184" t="inlineStr">
        <is>
          <t>AS018-TOTAL_CY_CG</t>
        </is>
      </c>
      <c r="C184" t="inlineStr">
        <is>
          <t>TOTAL_CY_CG</t>
        </is>
      </c>
      <c r="D184" t="n">
        <v>375.07</v>
      </c>
      <c r="E184" t="inlineStr">
        <is>
          <t>AUD</t>
        </is>
      </c>
      <c r="F184" t="inlineStr">
        <is>
          <t>AS018</t>
        </is>
      </c>
    </row>
    <row r="185">
      <c r="A185" t="inlineStr">
        <is>
          <t>AS018-FOREIGN_SOURCE_INCOME</t>
        </is>
      </c>
      <c r="C185" t="inlineStr">
        <is>
          <t>FOREIGN_SOURCE_INCOME</t>
        </is>
      </c>
      <c r="D185" t="n">
        <v>5803.68</v>
      </c>
      <c r="E185" t="inlineStr">
        <is>
          <t>AUD</t>
        </is>
      </c>
      <c r="F185" t="inlineStr">
        <is>
          <t>AS018</t>
        </is>
      </c>
    </row>
    <row r="186">
      <c r="A186" t="inlineStr">
        <is>
          <t>AS018-INTEREST</t>
        </is>
      </c>
      <c r="C186" t="inlineStr">
        <is>
          <t>INTEREST</t>
        </is>
      </c>
      <c r="D186" t="n">
        <v>308.71</v>
      </c>
      <c r="E186" t="inlineStr">
        <is>
          <t>AUD</t>
        </is>
      </c>
      <c r="F186" t="inlineStr">
        <is>
          <t>AS018</t>
        </is>
      </c>
    </row>
    <row r="187">
      <c r="A187" t="inlineStr">
        <is>
          <t>AS018-UNFRANKED_DISTRIBUTION</t>
        </is>
      </c>
      <c r="C187" t="inlineStr">
        <is>
          <t>UNFRANKED_DISTRIBUTION</t>
        </is>
      </c>
      <c r="D187" t="n">
        <v>61.74</v>
      </c>
      <c r="E187" t="inlineStr">
        <is>
          <t>AUD</t>
        </is>
      </c>
      <c r="F187" t="inlineStr">
        <is>
          <t>AS018</t>
        </is>
      </c>
    </row>
    <row r="188">
      <c r="A188" t="inlineStr">
        <is>
          <t>AS018-FOREIGN_INCOME_TAX_OFFSET</t>
        </is>
      </c>
      <c r="C188" t="inlineStr">
        <is>
          <t>FOREIGN_INCOME_TAX_OFFSET</t>
        </is>
      </c>
      <c r="D188" t="n">
        <v>580.37</v>
      </c>
      <c r="E188" t="inlineStr">
        <is>
          <t>AUD</t>
        </is>
      </c>
      <c r="F188" t="inlineStr">
        <is>
          <t>AS018</t>
        </is>
      </c>
    </row>
    <row r="189">
      <c r="A189" t="inlineStr">
        <is>
          <t>AS018-COSTBASE_INCREASE</t>
        </is>
      </c>
      <c r="C189" t="inlineStr">
        <is>
          <t>COSTBASE_INCREASE</t>
        </is>
      </c>
      <c r="D189" t="n">
        <v>609.24</v>
      </c>
      <c r="E189" t="inlineStr">
        <is>
          <t>AUD</t>
        </is>
      </c>
      <c r="F189" t="inlineStr">
        <is>
          <t>AS018</t>
        </is>
      </c>
    </row>
    <row r="190">
      <c r="A190" t="inlineStr">
        <is>
          <t>AS019-DISCOUNTED_TAP</t>
        </is>
      </c>
      <c r="C190" t="inlineStr">
        <is>
          <t>DISCOUNTED_TAP</t>
        </is>
      </c>
      <c r="D190" t="n">
        <v>23.04</v>
      </c>
      <c r="E190" t="inlineStr">
        <is>
          <t>AUD</t>
        </is>
      </c>
      <c r="F190" t="inlineStr">
        <is>
          <t>AS019</t>
        </is>
      </c>
    </row>
    <row r="191">
      <c r="A191" t="inlineStr">
        <is>
          <t>AS019-DISCOUNTED_NTAP</t>
        </is>
      </c>
      <c r="C191" t="inlineStr">
        <is>
          <t>DISCOUNTED_NTAP</t>
        </is>
      </c>
      <c r="D191" t="n">
        <v>468.86</v>
      </c>
      <c r="E191" t="inlineStr">
        <is>
          <t>AUD</t>
        </is>
      </c>
      <c r="F191" t="inlineStr">
        <is>
          <t>AS019</t>
        </is>
      </c>
    </row>
    <row r="192">
      <c r="A192" t="inlineStr">
        <is>
          <t>AS019-OTHER_NTAP</t>
        </is>
      </c>
      <c r="C192" t="inlineStr">
        <is>
          <t>OTHER_NTAP</t>
        </is>
      </c>
      <c r="D192" t="n">
        <v>23.3</v>
      </c>
      <c r="E192" t="inlineStr">
        <is>
          <t>AUD</t>
        </is>
      </c>
      <c r="F192" t="inlineStr">
        <is>
          <t>AS019</t>
        </is>
      </c>
    </row>
    <row r="193">
      <c r="A193" t="inlineStr">
        <is>
          <t>AS019-AMIT_GROSS_UP</t>
        </is>
      </c>
      <c r="C193" t="inlineStr">
        <is>
          <t>AMIT_GROSS_UP</t>
        </is>
      </c>
      <c r="D193" t="n">
        <v>491.9</v>
      </c>
      <c r="E193" t="inlineStr">
        <is>
          <t>AUD</t>
        </is>
      </c>
      <c r="F193" t="inlineStr">
        <is>
          <t>AS019</t>
        </is>
      </c>
    </row>
    <row r="194">
      <c r="A194" t="inlineStr">
        <is>
          <t>AS019-TOTAL_CY_CG</t>
        </is>
      </c>
      <c r="C194" t="inlineStr">
        <is>
          <t>TOTAL_CY_CG</t>
        </is>
      </c>
      <c r="D194" t="n">
        <v>1007.1</v>
      </c>
      <c r="E194" t="inlineStr">
        <is>
          <t>AUD</t>
        </is>
      </c>
      <c r="F194" t="inlineStr">
        <is>
          <t>AS019</t>
        </is>
      </c>
    </row>
    <row r="195">
      <c r="A195" t="inlineStr">
        <is>
          <t>AS019-FRANKED_DISTRIBUTION</t>
        </is>
      </c>
      <c r="C195" t="inlineStr">
        <is>
          <t>FRANKED_DISTRIBUTION</t>
        </is>
      </c>
      <c r="D195" t="n">
        <v>3379.08</v>
      </c>
      <c r="E195" t="inlineStr">
        <is>
          <t>AUD</t>
        </is>
      </c>
      <c r="F195" t="inlineStr">
        <is>
          <t>AS019</t>
        </is>
      </c>
    </row>
    <row r="196">
      <c r="A196" t="inlineStr">
        <is>
          <t>AS019-UNFRANKED_DISTRIBUTION</t>
        </is>
      </c>
      <c r="C196" t="inlineStr">
        <is>
          <t>UNFRANKED_DISTRIBUTION</t>
        </is>
      </c>
      <c r="D196" t="n">
        <v>506.86</v>
      </c>
      <c r="E196" t="inlineStr">
        <is>
          <t>AUD</t>
        </is>
      </c>
      <c r="F196" t="inlineStr">
        <is>
          <t>AS019</t>
        </is>
      </c>
    </row>
    <row r="197">
      <c r="A197" t="inlineStr">
        <is>
          <t>AS019-FOREIGN_SOURCE_INCOME</t>
        </is>
      </c>
      <c r="C197" t="inlineStr">
        <is>
          <t>FOREIGN_SOURCE_INCOME</t>
        </is>
      </c>
      <c r="D197" t="n">
        <v>253.43</v>
      </c>
      <c r="E197" t="inlineStr">
        <is>
          <t>AUD</t>
        </is>
      </c>
      <c r="F197" t="inlineStr">
        <is>
          <t>AS019</t>
        </is>
      </c>
    </row>
    <row r="198">
      <c r="A198" t="inlineStr">
        <is>
          <t>AS019-INTEREST</t>
        </is>
      </c>
      <c r="C198" t="inlineStr">
        <is>
          <t>INTEREST</t>
        </is>
      </c>
      <c r="D198" t="n">
        <v>84.48</v>
      </c>
      <c r="E198" t="inlineStr">
        <is>
          <t>AUD</t>
        </is>
      </c>
      <c r="F198" t="inlineStr">
        <is>
          <t>AS019</t>
        </is>
      </c>
    </row>
    <row r="199">
      <c r="A199" t="inlineStr">
        <is>
          <t>AS019-FRANKING_CREDIT</t>
        </is>
      </c>
      <c r="C199" t="inlineStr">
        <is>
          <t>FRANKING_CREDIT</t>
        </is>
      </c>
      <c r="D199" t="n">
        <v>1448.18</v>
      </c>
      <c r="E199" t="inlineStr">
        <is>
          <t>AUD</t>
        </is>
      </c>
      <c r="F199" t="inlineStr">
        <is>
          <t>AS019</t>
        </is>
      </c>
    </row>
    <row r="200">
      <c r="A200" t="inlineStr">
        <is>
          <t>AS019-FOREIGN_INCOME_TAX_OFFSET</t>
        </is>
      </c>
      <c r="C200" t="inlineStr">
        <is>
          <t>FOREIGN_INCOME_TAX_OFFSET</t>
        </is>
      </c>
      <c r="D200" t="n">
        <v>25.34</v>
      </c>
      <c r="E200" t="inlineStr">
        <is>
          <t>AUD</t>
        </is>
      </c>
      <c r="F200" t="inlineStr">
        <is>
          <t>AS019</t>
        </is>
      </c>
    </row>
    <row r="201">
      <c r="A201" t="inlineStr">
        <is>
          <t>AS019-COSTBASE_INCREASE</t>
        </is>
      </c>
      <c r="C201" t="inlineStr">
        <is>
          <t>COSTBASE_INCREASE</t>
        </is>
      </c>
      <c r="D201" t="n">
        <v>288.25</v>
      </c>
      <c r="E201" t="inlineStr">
        <is>
          <t>AUD</t>
        </is>
      </c>
      <c r="F201" t="inlineStr">
        <is>
          <t>AS019</t>
        </is>
      </c>
    </row>
    <row r="202">
      <c r="A202" t="inlineStr">
        <is>
          <t>AS020-DISCOUNTED_NTAP</t>
        </is>
      </c>
      <c r="C202" t="inlineStr">
        <is>
          <t>DISCOUNTED_NTAP</t>
        </is>
      </c>
      <c r="D202" t="n">
        <v>477.98</v>
      </c>
      <c r="E202" t="inlineStr">
        <is>
          <t>AUD</t>
        </is>
      </c>
      <c r="F202" t="inlineStr">
        <is>
          <t>AS020</t>
        </is>
      </c>
    </row>
    <row r="203">
      <c r="A203" t="inlineStr">
        <is>
          <t>AS020-OTHER_NTAP</t>
        </is>
      </c>
      <c r="C203" t="inlineStr">
        <is>
          <t>OTHER_NTAP</t>
        </is>
      </c>
      <c r="D203" t="n">
        <v>204.94</v>
      </c>
      <c r="E203" t="inlineStr">
        <is>
          <t>AUD</t>
        </is>
      </c>
      <c r="F203" t="inlineStr">
        <is>
          <t>AS020</t>
        </is>
      </c>
    </row>
    <row r="204">
      <c r="A204" t="inlineStr">
        <is>
          <t>AS020-AMIT_GROSS_UP</t>
        </is>
      </c>
      <c r="C204" t="inlineStr">
        <is>
          <t>AMIT_GROSS_UP</t>
        </is>
      </c>
      <c r="D204" t="n">
        <v>477.98</v>
      </c>
      <c r="E204" t="inlineStr">
        <is>
          <t>AUD</t>
        </is>
      </c>
      <c r="F204" t="inlineStr">
        <is>
          <t>AS020</t>
        </is>
      </c>
    </row>
    <row r="205">
      <c r="A205" t="inlineStr">
        <is>
          <t>AS020-TOTAL_CY_CG</t>
        </is>
      </c>
      <c r="C205" t="inlineStr">
        <is>
          <t>TOTAL_CY_CG</t>
        </is>
      </c>
      <c r="D205" t="n">
        <v>1160.9</v>
      </c>
      <c r="E205" t="inlineStr">
        <is>
          <t>AUD</t>
        </is>
      </c>
      <c r="F205" t="inlineStr">
        <is>
          <t>AS020</t>
        </is>
      </c>
    </row>
    <row r="206">
      <c r="A206" t="inlineStr">
        <is>
          <t>AS020-FOREIGN_SOURCE_INCOME</t>
        </is>
      </c>
      <c r="C206" t="inlineStr">
        <is>
          <t>FOREIGN_SOURCE_INCOME</t>
        </is>
      </c>
      <c r="D206" t="n">
        <v>7917.34</v>
      </c>
      <c r="E206" t="inlineStr">
        <is>
          <t>AUD</t>
        </is>
      </c>
      <c r="F206" t="inlineStr">
        <is>
          <t>AS020</t>
        </is>
      </c>
    </row>
    <row r="207">
      <c r="A207" t="inlineStr">
        <is>
          <t>AS020-INTEREST</t>
        </is>
      </c>
      <c r="C207" t="inlineStr">
        <is>
          <t>INTEREST</t>
        </is>
      </c>
      <c r="D207" t="n">
        <v>421.14</v>
      </c>
      <c r="E207" t="inlineStr">
        <is>
          <t>AUD</t>
        </is>
      </c>
      <c r="F207" t="inlineStr">
        <is>
          <t>AS020</t>
        </is>
      </c>
    </row>
    <row r="208">
      <c r="A208" t="inlineStr">
        <is>
          <t>AS020-UNFRANKED_DISTRIBUTION</t>
        </is>
      </c>
      <c r="C208" t="inlineStr">
        <is>
          <t>UNFRANKED_DISTRIBUTION</t>
        </is>
      </c>
      <c r="D208" t="n">
        <v>84.23</v>
      </c>
      <c r="E208" t="inlineStr">
        <is>
          <t>AUD</t>
        </is>
      </c>
      <c r="F208" t="inlineStr">
        <is>
          <t>AS020</t>
        </is>
      </c>
    </row>
    <row r="209">
      <c r="A209" t="inlineStr">
        <is>
          <t>AS020-FOREIGN_INCOME_TAX_OFFSET</t>
        </is>
      </c>
      <c r="C209" t="inlineStr">
        <is>
          <t>FOREIGN_INCOME_TAX_OFFSET</t>
        </is>
      </c>
      <c r="D209" t="n">
        <v>791.74</v>
      </c>
      <c r="E209" t="inlineStr">
        <is>
          <t>AUD</t>
        </is>
      </c>
      <c r="F209" t="inlineStr">
        <is>
          <t>AS020</t>
        </is>
      </c>
    </row>
    <row r="210">
      <c r="A210" t="inlineStr">
        <is>
          <t>AS020-COSTBASE_INCREASE</t>
        </is>
      </c>
      <c r="C210" t="inlineStr">
        <is>
          <t>COSTBASE_INCREASE</t>
        </is>
      </c>
      <c r="D210" t="n">
        <v>701.45</v>
      </c>
      <c r="E210" t="inlineStr">
        <is>
          <t>AUD</t>
        </is>
      </c>
      <c r="F210" t="inlineStr">
        <is>
          <t>AS020</t>
        </is>
      </c>
    </row>
    <row r="211">
      <c r="A211" t="inlineStr">
        <is>
          <t>AS021-DISCOUNTED_TAP</t>
        </is>
      </c>
      <c r="C211" t="inlineStr">
        <is>
          <t>DISCOUNTED_TAP</t>
        </is>
      </c>
      <c r="D211" t="n">
        <v>22.79</v>
      </c>
      <c r="E211" t="inlineStr">
        <is>
          <t>AUD</t>
        </is>
      </c>
      <c r="F211" t="inlineStr">
        <is>
          <t>AS021</t>
        </is>
      </c>
    </row>
    <row r="212">
      <c r="A212" t="inlineStr">
        <is>
          <t>AS021-DISCOUNTED_NTAP</t>
        </is>
      </c>
      <c r="C212" t="inlineStr">
        <is>
          <t>DISCOUNTED_NTAP</t>
        </is>
      </c>
      <c r="D212" t="n">
        <v>371.27</v>
      </c>
      <c r="E212" t="inlineStr">
        <is>
          <t>AUD</t>
        </is>
      </c>
      <c r="F212" t="inlineStr">
        <is>
          <t>AS021</t>
        </is>
      </c>
    </row>
    <row r="213">
      <c r="A213" t="inlineStr">
        <is>
          <t>AS021-OTHER_NTAP</t>
        </is>
      </c>
      <c r="C213" t="inlineStr">
        <is>
          <t>OTHER_NTAP</t>
        </is>
      </c>
      <c r="D213" t="n">
        <v>184.69</v>
      </c>
      <c r="E213" t="inlineStr">
        <is>
          <t>AUD</t>
        </is>
      </c>
      <c r="F213" t="inlineStr">
        <is>
          <t>AS021</t>
        </is>
      </c>
    </row>
    <row r="214">
      <c r="A214" t="inlineStr">
        <is>
          <t>AS021-AMIT_GROSS_UP</t>
        </is>
      </c>
      <c r="C214" t="inlineStr">
        <is>
          <t>AMIT_GROSS_UP</t>
        </is>
      </c>
      <c r="D214" t="n">
        <v>394.06</v>
      </c>
      <c r="E214" t="inlineStr">
        <is>
          <t>AUD</t>
        </is>
      </c>
      <c r="F214" t="inlineStr">
        <is>
          <t>AS021</t>
        </is>
      </c>
    </row>
    <row r="215">
      <c r="A215" t="inlineStr">
        <is>
          <t>AS021-TOTAL_CY_CG</t>
        </is>
      </c>
      <c r="C215" t="inlineStr">
        <is>
          <t>TOTAL_CY_CG</t>
        </is>
      </c>
      <c r="D215" t="n">
        <v>972.8099999999999</v>
      </c>
      <c r="E215" t="inlineStr">
        <is>
          <t>AUD</t>
        </is>
      </c>
      <c r="F215" t="inlineStr">
        <is>
          <t>AS021</t>
        </is>
      </c>
    </row>
    <row r="216">
      <c r="A216" t="inlineStr">
        <is>
          <t>AS021-FRANKED_DISTRIBUTION</t>
        </is>
      </c>
      <c r="C216" t="inlineStr">
        <is>
          <t>FRANKED_DISTRIBUTION</t>
        </is>
      </c>
      <c r="D216" t="n">
        <v>4649.06</v>
      </c>
      <c r="E216" t="inlineStr">
        <is>
          <t>AUD</t>
        </is>
      </c>
      <c r="F216" t="inlineStr">
        <is>
          <t>AS021</t>
        </is>
      </c>
    </row>
    <row r="217">
      <c r="A217" t="inlineStr">
        <is>
          <t>AS021-UNFRANKED_DISTRIBUTION</t>
        </is>
      </c>
      <c r="C217" t="inlineStr">
        <is>
          <t>UNFRANKED_DISTRIBUTION</t>
        </is>
      </c>
      <c r="D217" t="n">
        <v>697.36</v>
      </c>
      <c r="E217" t="inlineStr">
        <is>
          <t>AUD</t>
        </is>
      </c>
      <c r="F217" t="inlineStr">
        <is>
          <t>AS021</t>
        </is>
      </c>
    </row>
    <row r="218">
      <c r="A218" t="inlineStr">
        <is>
          <t>AS021-FOREIGN_SOURCE_INCOME</t>
        </is>
      </c>
      <c r="C218" t="inlineStr">
        <is>
          <t>FOREIGN_SOURCE_INCOME</t>
        </is>
      </c>
      <c r="D218" t="n">
        <v>348.68</v>
      </c>
      <c r="E218" t="inlineStr">
        <is>
          <t>AUD</t>
        </is>
      </c>
      <c r="F218" t="inlineStr">
        <is>
          <t>AS021</t>
        </is>
      </c>
    </row>
    <row r="219">
      <c r="A219" t="inlineStr">
        <is>
          <t>AS021-INTEREST</t>
        </is>
      </c>
      <c r="C219" t="inlineStr">
        <is>
          <t>INTEREST</t>
        </is>
      </c>
      <c r="D219" t="n">
        <v>116.23</v>
      </c>
      <c r="E219" t="inlineStr">
        <is>
          <t>AUD</t>
        </is>
      </c>
      <c r="F219" t="inlineStr">
        <is>
          <t>AS021</t>
        </is>
      </c>
    </row>
    <row r="220">
      <c r="A220" t="inlineStr">
        <is>
          <t>AS021-FRANKING_CREDIT</t>
        </is>
      </c>
      <c r="C220" t="inlineStr">
        <is>
          <t>FRANKING_CREDIT</t>
        </is>
      </c>
      <c r="D220" t="n">
        <v>1992.45</v>
      </c>
      <c r="E220" t="inlineStr">
        <is>
          <t>AUD</t>
        </is>
      </c>
      <c r="F220" t="inlineStr">
        <is>
          <t>AS021</t>
        </is>
      </c>
    </row>
    <row r="221">
      <c r="A221" t="inlineStr">
        <is>
          <t>AS021-FOREIGN_INCOME_TAX_OFFSET</t>
        </is>
      </c>
      <c r="C221" t="inlineStr">
        <is>
          <t>FOREIGN_INCOME_TAX_OFFSET</t>
        </is>
      </c>
      <c r="D221" t="n">
        <v>34.87</v>
      </c>
      <c r="E221" t="inlineStr">
        <is>
          <t>AUD</t>
        </is>
      </c>
      <c r="F221" t="inlineStr">
        <is>
          <t>AS021</t>
        </is>
      </c>
    </row>
    <row r="222">
      <c r="A222" t="inlineStr">
        <is>
          <t>AS021-COSTBASE_INCREASE</t>
        </is>
      </c>
      <c r="C222" t="inlineStr">
        <is>
          <t>COSTBASE_INCREASE</t>
        </is>
      </c>
      <c r="D222" t="n">
        <v>494.99</v>
      </c>
      <c r="E222" t="inlineStr">
        <is>
          <t>AUD</t>
        </is>
      </c>
      <c r="F222" t="inlineStr">
        <is>
          <t>AS021</t>
        </is>
      </c>
    </row>
    <row r="223">
      <c r="A223" t="inlineStr">
        <is>
          <t>AS022-DISCOUNTED_NTAP</t>
        </is>
      </c>
      <c r="C223" t="inlineStr">
        <is>
          <t>DISCOUNTED_NTAP</t>
        </is>
      </c>
      <c r="D223" t="n">
        <v>504.26</v>
      </c>
      <c r="E223" t="inlineStr">
        <is>
          <t>AUD</t>
        </is>
      </c>
      <c r="F223" t="inlineStr">
        <is>
          <t>AS022</t>
        </is>
      </c>
    </row>
    <row r="224">
      <c r="A224" t="inlineStr">
        <is>
          <t>AS022-OTHER_NTAP</t>
        </is>
      </c>
      <c r="C224" t="inlineStr">
        <is>
          <t>OTHER_NTAP</t>
        </is>
      </c>
      <c r="D224" t="n">
        <v>209.25</v>
      </c>
      <c r="E224" t="inlineStr">
        <is>
          <t>AUD</t>
        </is>
      </c>
      <c r="F224" t="inlineStr">
        <is>
          <t>AS022</t>
        </is>
      </c>
    </row>
    <row r="225">
      <c r="A225" t="inlineStr">
        <is>
          <t>AS022-AMIT_GROSS_UP</t>
        </is>
      </c>
      <c r="C225" t="inlineStr">
        <is>
          <t>AMIT_GROSS_UP</t>
        </is>
      </c>
      <c r="D225" t="n">
        <v>504.26</v>
      </c>
      <c r="E225" t="inlineStr">
        <is>
          <t>AUD</t>
        </is>
      </c>
      <c r="F225" t="inlineStr">
        <is>
          <t>AS022</t>
        </is>
      </c>
    </row>
    <row r="226">
      <c r="A226" t="inlineStr">
        <is>
          <t>AS022-TOTAL_CY_CG</t>
        </is>
      </c>
      <c r="C226" t="inlineStr">
        <is>
          <t>TOTAL_CY_CG</t>
        </is>
      </c>
      <c r="D226" t="n">
        <v>1217.77</v>
      </c>
      <c r="E226" t="inlineStr">
        <is>
          <t>AUD</t>
        </is>
      </c>
      <c r="F226" t="inlineStr">
        <is>
          <t>AS022</t>
        </is>
      </c>
    </row>
    <row r="227">
      <c r="A227" t="inlineStr">
        <is>
          <t>AS022-FOREIGN_SOURCE_INCOME</t>
        </is>
      </c>
      <c r="C227" t="inlineStr">
        <is>
          <t>FOREIGN_SOURCE_INCOME</t>
        </is>
      </c>
      <c r="D227" t="n">
        <v>3699.43</v>
      </c>
      <c r="E227" t="inlineStr">
        <is>
          <t>AUD</t>
        </is>
      </c>
      <c r="F227" t="inlineStr">
        <is>
          <t>AS022</t>
        </is>
      </c>
    </row>
    <row r="228">
      <c r="A228" t="inlineStr">
        <is>
          <t>AS022-INTEREST</t>
        </is>
      </c>
      <c r="C228" t="inlineStr">
        <is>
          <t>INTEREST</t>
        </is>
      </c>
      <c r="D228" t="n">
        <v>196.78</v>
      </c>
      <c r="E228" t="inlineStr">
        <is>
          <t>AUD</t>
        </is>
      </c>
      <c r="F228" t="inlineStr">
        <is>
          <t>AS022</t>
        </is>
      </c>
    </row>
    <row r="229">
      <c r="A229" t="inlineStr">
        <is>
          <t>AS022-UNFRANKED_DISTRIBUTION</t>
        </is>
      </c>
      <c r="C229" t="inlineStr">
        <is>
          <t>UNFRANKED_DISTRIBUTION</t>
        </is>
      </c>
      <c r="D229" t="n">
        <v>39.36</v>
      </c>
      <c r="E229" t="inlineStr">
        <is>
          <t>AUD</t>
        </is>
      </c>
      <c r="F229" t="inlineStr">
        <is>
          <t>AS022</t>
        </is>
      </c>
    </row>
    <row r="230">
      <c r="A230" t="inlineStr">
        <is>
          <t>AS022-FOREIGN_INCOME_TAX_OFFSET</t>
        </is>
      </c>
      <c r="C230" t="inlineStr">
        <is>
          <t>FOREIGN_INCOME_TAX_OFFSET</t>
        </is>
      </c>
      <c r="D230" t="n">
        <v>369.94</v>
      </c>
      <c r="E230" t="inlineStr">
        <is>
          <t>AUD</t>
        </is>
      </c>
      <c r="F230" t="inlineStr">
        <is>
          <t>AS022</t>
        </is>
      </c>
    </row>
    <row r="231">
      <c r="A231" t="inlineStr">
        <is>
          <t>AS022-COSTBASE_INCREASE</t>
        </is>
      </c>
      <c r="C231" t="inlineStr">
        <is>
          <t>COSTBASE_INCREASE</t>
        </is>
      </c>
      <c r="D231" t="n">
        <v>109.68</v>
      </c>
      <c r="E231" t="inlineStr">
        <is>
          <t>AUD</t>
        </is>
      </c>
      <c r="F231" t="inlineStr">
        <is>
          <t>AS022</t>
        </is>
      </c>
    </row>
  </sheetData>
  <dataValidations count="2">
    <dataValidation sqref="C2:C731" showDropDown="0" showInputMessage="0" showErrorMessage="1" allowBlank="1" errorTitle="Not an allowed value" error="Pick a value for component from the list." type="list">
      <formula1>'ValueAssistance'!$K$2:$K$28</formula1>
    </dataValidation>
    <dataValidation sqref="E2:E731" showDropDown="0" showInputMessage="0" showErrorMessage="1" allowBlank="1" errorTitle="Not an allowed value" error="Pick a value for amount_currency from the list." type="list">
      <formula1>'ValueAssistance'!$B$2:$B$308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2026-10-04T04:52:23Z</dcterms:created>
  <dcterms:modified xsi:type="dcterms:W3CDTF">2026-10-04T04:52:24Z</dcterms:modified>
</cp:coreProperties>
</file>